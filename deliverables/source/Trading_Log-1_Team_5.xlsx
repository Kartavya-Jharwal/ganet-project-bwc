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codeName="ThisWorkbook" defaultThemeVersion="124226"/>
  <mc:AlternateContent xmlns:mc="http://schemas.openxmlformats.org/markup-compatibility/2006">
    <mc:Choice Requires="x15">
      <x15ac:absPath xmlns:x15ac="http://schemas.microsoft.com/office/spreadsheetml/2010/11/ac" url="https://hultstudents-my.sharepoint.com/personal/aasharaf_student_hult_edu/Documents/"/>
    </mc:Choice>
  </mc:AlternateContent>
  <xr:revisionPtr revIDLastSave="0" documentId="8_{4F34D192-AF9F-4FCB-8856-AE864EECB755}" xr6:coauthVersionLast="47" xr6:coauthVersionMax="47" xr10:uidLastSave="{00000000-0000-0000-0000-000000000000}"/>
  <bookViews>
    <workbookView xWindow="-108" yWindow="-108" windowWidth="23256" windowHeight="12456" firstSheet="1" activeTab="1" xr2:uid="{00000000-000D-0000-FFFF-FFFF00000000}"/>
  </bookViews>
  <sheets>
    <sheet name="READ ME" sheetId="4" r:id="rId1"/>
    <sheet name="Cover" sheetId="7" r:id="rId2"/>
    <sheet name="Trading Log" sheetId="1" r:id="rId3"/>
    <sheet name="Periodic Reflection" sheetId="6" r:id="rId4"/>
    <sheet name="VALIDATION_LISTS" sheetId="5" state="hidden" r:id="rId5"/>
  </sheets>
  <definedNames>
    <definedName name="ExternalData_1" localSheetId="3">'Periodic Reflection'!$KJ$418:$KK$420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s="1"/>
  <c r="P4" i="1" s="1"/>
  <c r="P5" i="1" s="1"/>
  <c r="P6" i="1" s="1"/>
  <c r="P7" i="1" s="1"/>
  <c r="P8" i="1" s="1"/>
  <c r="P9" i="1" s="1"/>
  <c r="P10" i="1" s="1"/>
  <c r="P11" i="1" s="1"/>
  <c r="P12" i="1" s="1"/>
  <c r="P13" i="1" s="1"/>
  <c r="P14" i="1" s="1"/>
  <c r="P15" i="1" s="1"/>
  <c r="P16" i="1" s="1"/>
  <c r="Y3" i="1" a="1"/>
  <c r="Y3" i="1" s="1"/>
  <c r="Z3" i="1" a="1"/>
  <c r="Z3" i="1" s="1"/>
  <c r="AA3" i="1" a="1"/>
  <c r="AA3" i="1" s="1"/>
  <c r="AB3" i="1" a="1"/>
  <c r="AB3" i="1" s="1"/>
  <c r="Y4" i="1" a="1"/>
  <c r="Y4" i="1" s="1"/>
  <c r="Z4" i="1" a="1"/>
  <c r="Z4" i="1" s="1"/>
  <c r="AA4" i="1" a="1"/>
  <c r="AA4" i="1" s="1"/>
  <c r="AB4" i="1" a="1"/>
  <c r="AB4" i="1" s="1"/>
  <c r="Y5" i="1" a="1"/>
  <c r="Y5" i="1" s="1"/>
  <c r="Z5" i="1" a="1"/>
  <c r="Z5" i="1" s="1"/>
  <c r="AA5" i="1" a="1"/>
  <c r="AA5" i="1" s="1"/>
  <c r="AB5" i="1" a="1"/>
  <c r="AB5" i="1" s="1"/>
  <c r="Y6" i="1" a="1"/>
  <c r="Y6" i="1" s="1"/>
  <c r="Z6" i="1" a="1"/>
  <c r="Z6" i="1" s="1"/>
  <c r="AA6" i="1" a="1"/>
  <c r="AA6" i="1" s="1"/>
  <c r="AB6" i="1" a="1"/>
  <c r="AB6" i="1" s="1"/>
  <c r="Y7" i="1" a="1"/>
  <c r="Y7" i="1" s="1"/>
  <c r="Z7" i="1" a="1"/>
  <c r="Z7" i="1" s="1"/>
  <c r="AA7" i="1" a="1"/>
  <c r="AA7" i="1" s="1"/>
  <c r="AB7" i="1" a="1"/>
  <c r="AB7" i="1" s="1"/>
  <c r="Y8" i="1" a="1"/>
  <c r="Y8" i="1" s="1"/>
  <c r="Z8" i="1" a="1"/>
  <c r="Z8" i="1" s="1"/>
  <c r="AA8" i="1" a="1"/>
  <c r="AA8" i="1" s="1"/>
  <c r="AB8" i="1" a="1"/>
  <c r="AB8" i="1" s="1"/>
  <c r="Y9" i="1" a="1"/>
  <c r="Y9" i="1" s="1"/>
  <c r="Z9" i="1" a="1"/>
  <c r="Z9" i="1" s="1"/>
  <c r="AA9" i="1" a="1"/>
  <c r="AA9" i="1" s="1"/>
  <c r="AB9" i="1" a="1"/>
  <c r="AB9" i="1" s="1"/>
  <c r="Y10" i="1" a="1"/>
  <c r="Y10" i="1" s="1"/>
  <c r="Z10" i="1" a="1"/>
  <c r="Z10" i="1" s="1"/>
  <c r="AA10" i="1" a="1"/>
  <c r="AA10" i="1" s="1"/>
  <c r="AB10" i="1" a="1"/>
  <c r="AB10" i="1" s="1"/>
  <c r="Y11" i="1" a="1"/>
  <c r="Y11" i="1" s="1"/>
  <c r="Z11" i="1" a="1"/>
  <c r="Z11" i="1" s="1"/>
  <c r="AA11" i="1" a="1"/>
  <c r="AA11" i="1" s="1"/>
  <c r="AB11" i="1" a="1"/>
  <c r="AB11" i="1" s="1"/>
  <c r="Y12" i="1" a="1"/>
  <c r="Y12" i="1" s="1"/>
  <c r="Z12" i="1" a="1"/>
  <c r="Z12" i="1" s="1"/>
  <c r="AA12" i="1" a="1"/>
  <c r="AA12" i="1" s="1"/>
  <c r="AB12" i="1" a="1"/>
  <c r="AB12" i="1" s="1"/>
  <c r="Y13" i="1" a="1"/>
  <c r="Y13" i="1" s="1"/>
  <c r="Z13" i="1" a="1"/>
  <c r="Z13" i="1" s="1"/>
  <c r="AA13" i="1" a="1"/>
  <c r="AA13" i="1" s="1"/>
  <c r="AB13" i="1" a="1"/>
  <c r="AB13" i="1" s="1"/>
  <c r="Y14" i="1" a="1"/>
  <c r="Y14" i="1" s="1"/>
  <c r="Z14" i="1" a="1"/>
  <c r="Z14" i="1" s="1"/>
  <c r="AA14" i="1" a="1"/>
  <c r="AA14" i="1" s="1"/>
  <c r="AB14" i="1" a="1"/>
  <c r="AB14" i="1" s="1"/>
  <c r="Y15" i="1" a="1"/>
  <c r="Y15" i="1" s="1"/>
  <c r="Z15" i="1" a="1"/>
  <c r="Z15" i="1" s="1"/>
  <c r="AA15" i="1" a="1"/>
  <c r="AA15" i="1" s="1"/>
  <c r="AB15" i="1" a="1"/>
  <c r="AB15" i="1" s="1"/>
  <c r="Y16" i="1" a="1"/>
  <c r="Y16" i="1" s="1"/>
  <c r="Z16" i="1" a="1"/>
  <c r="Z16" i="1" s="1"/>
  <c r="AA16" i="1" a="1"/>
  <c r="AA16" i="1" s="1"/>
  <c r="AB16" i="1" a="1"/>
  <c r="AB16" i="1" s="1"/>
  <c r="AB2" i="1" a="1"/>
  <c r="AB2" i="1" s="1"/>
  <c r="AA2" i="1" a="1"/>
  <c r="AA2" i="1" s="1"/>
  <c r="Z2" i="1" a="1"/>
  <c r="Z2" i="1" s="1"/>
  <c r="Y2" i="1" a="1"/>
  <c r="Y2" i="1" s="1"/>
  <c r="U3" i="1" a="1"/>
  <c r="U3" i="1" s="1"/>
  <c r="V3" i="1" a="1"/>
  <c r="V3" i="1" s="1"/>
  <c r="W3" i="1" a="1"/>
  <c r="W3" i="1" s="1"/>
  <c r="U4" i="1" a="1"/>
  <c r="U4" i="1" s="1"/>
  <c r="V4" i="1" a="1"/>
  <c r="V4" i="1" s="1"/>
  <c r="W4" i="1" a="1"/>
  <c r="W4" i="1" s="1"/>
  <c r="U5" i="1" a="1"/>
  <c r="U5" i="1" s="1"/>
  <c r="V5" i="1" a="1"/>
  <c r="V5" i="1" s="1"/>
  <c r="W5" i="1" a="1"/>
  <c r="W5" i="1" s="1"/>
  <c r="U6" i="1" a="1"/>
  <c r="U6" i="1" s="1"/>
  <c r="V6" i="1" a="1"/>
  <c r="V6" i="1" s="1"/>
  <c r="W6" i="1" a="1"/>
  <c r="W6" i="1" s="1"/>
  <c r="U7" i="1" a="1"/>
  <c r="U7" i="1" s="1"/>
  <c r="V7" i="1" a="1"/>
  <c r="V7" i="1" s="1"/>
  <c r="W7" i="1" a="1"/>
  <c r="W7" i="1" s="1"/>
  <c r="U8" i="1" a="1"/>
  <c r="U8" i="1" s="1"/>
  <c r="V8" i="1" a="1"/>
  <c r="V8" i="1" s="1"/>
  <c r="W8" i="1" a="1"/>
  <c r="W8" i="1" s="1"/>
  <c r="U9" i="1" a="1"/>
  <c r="U9" i="1" s="1"/>
  <c r="V9" i="1" a="1"/>
  <c r="V9" i="1" s="1"/>
  <c r="W9" i="1" a="1"/>
  <c r="W9" i="1" s="1"/>
  <c r="U10" i="1" a="1"/>
  <c r="U10" i="1" s="1"/>
  <c r="V10" i="1" a="1"/>
  <c r="V10" i="1" s="1"/>
  <c r="W10" i="1" a="1"/>
  <c r="W10" i="1" s="1"/>
  <c r="U11" i="1" a="1"/>
  <c r="U11" i="1" s="1"/>
  <c r="V11" i="1" a="1"/>
  <c r="V11" i="1" s="1"/>
  <c r="W11" i="1" a="1"/>
  <c r="W11" i="1" s="1"/>
  <c r="U12" i="1" a="1"/>
  <c r="U12" i="1" s="1"/>
  <c r="V12" i="1" a="1"/>
  <c r="V12" i="1" s="1"/>
  <c r="W12" i="1" a="1"/>
  <c r="W12" i="1" s="1"/>
  <c r="U13" i="1" a="1"/>
  <c r="U13" i="1" s="1"/>
  <c r="V13" i="1" a="1"/>
  <c r="V13" i="1" s="1"/>
  <c r="W13" i="1" a="1"/>
  <c r="W13" i="1" s="1"/>
  <c r="U14" i="1" a="1"/>
  <c r="U14" i="1" s="1"/>
  <c r="V14" i="1" a="1"/>
  <c r="V14" i="1" s="1"/>
  <c r="W14" i="1" a="1"/>
  <c r="W14" i="1" s="1"/>
  <c r="U15" i="1" a="1"/>
  <c r="U15" i="1" s="1"/>
  <c r="V15" i="1" a="1"/>
  <c r="V15" i="1" s="1"/>
  <c r="W15" i="1" a="1"/>
  <c r="W15" i="1" s="1"/>
  <c r="U16" i="1" a="1"/>
  <c r="U16" i="1" s="1"/>
  <c r="V16" i="1" a="1"/>
  <c r="V16" i="1" s="1"/>
  <c r="W16" i="1" a="1"/>
  <c r="W16"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2" i="1" a="1"/>
  <c r="X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2" i="1" a="1"/>
  <c r="Q2" i="1" s="1"/>
  <c r="W2" i="1" a="1"/>
  <c r="W2" i="1" s="1"/>
  <c r="V2" i="1" a="1"/>
  <c r="V2" i="1" s="1"/>
  <c r="U2" i="1" a="1"/>
  <c r="U2" i="1" s="1"/>
  <c r="S3" i="1" a="1"/>
  <c r="S3" i="1" s="1"/>
  <c r="T3" i="1" a="1"/>
  <c r="T3" i="1" s="1"/>
  <c r="S4" i="1" a="1"/>
  <c r="S4" i="1" s="1"/>
  <c r="T4" i="1" a="1"/>
  <c r="T4" i="1" s="1"/>
  <c r="S5" i="1" a="1"/>
  <c r="S5" i="1" s="1"/>
  <c r="T5" i="1" a="1"/>
  <c r="T5" i="1" s="1"/>
  <c r="S6" i="1" a="1"/>
  <c r="S6" i="1" s="1"/>
  <c r="T6" i="1" a="1"/>
  <c r="T6" i="1" s="1"/>
  <c r="S7" i="1" a="1"/>
  <c r="S7" i="1" s="1"/>
  <c r="T7" i="1" a="1"/>
  <c r="T7" i="1" s="1"/>
  <c r="S8" i="1" a="1"/>
  <c r="S8" i="1" s="1"/>
  <c r="T8" i="1" a="1"/>
  <c r="T8" i="1" s="1"/>
  <c r="S9" i="1" a="1"/>
  <c r="S9" i="1" s="1"/>
  <c r="T9" i="1" a="1"/>
  <c r="T9" i="1" s="1"/>
  <c r="S10" i="1" a="1"/>
  <c r="S10" i="1" s="1"/>
  <c r="T10" i="1" a="1"/>
  <c r="T10" i="1" s="1"/>
  <c r="S11" i="1" a="1"/>
  <c r="S11" i="1" s="1"/>
  <c r="T11" i="1" a="1"/>
  <c r="T11" i="1" s="1"/>
  <c r="S12" i="1" a="1"/>
  <c r="S12" i="1" s="1"/>
  <c r="T12" i="1" a="1"/>
  <c r="T12" i="1" s="1"/>
  <c r="S13" i="1" a="1"/>
  <c r="S13" i="1" s="1"/>
  <c r="T13" i="1" a="1"/>
  <c r="T13" i="1" s="1"/>
  <c r="S14" i="1" a="1"/>
  <c r="S14" i="1" s="1"/>
  <c r="T14" i="1" a="1"/>
  <c r="T14" i="1" s="1"/>
  <c r="S15" i="1" a="1"/>
  <c r="S15" i="1" s="1"/>
  <c r="T15" i="1" a="1"/>
  <c r="T15" i="1" s="1"/>
  <c r="S16" i="1" a="1"/>
  <c r="S16" i="1" s="1"/>
  <c r="T16" i="1" a="1"/>
  <c r="T16" i="1" s="1"/>
  <c r="S2" i="1" a="1"/>
  <c r="S2" i="1" s="1"/>
  <c r="T2" i="1" a="1"/>
  <c r="T2" i="1" s="1"/>
  <c r="I7" i="1"/>
  <c r="K7" i="1" s="1"/>
  <c r="I8" i="1"/>
  <c r="K8" i="1" s="1"/>
  <c r="I9" i="1"/>
  <c r="K9" i="1" s="1"/>
  <c r="I10" i="1"/>
  <c r="K10" i="1" s="1"/>
  <c r="I11" i="1"/>
  <c r="K11" i="1" s="1"/>
  <c r="I12" i="1"/>
  <c r="K12" i="1" s="1"/>
  <c r="I13" i="1"/>
  <c r="K13" i="1" s="1"/>
  <c r="I14" i="1"/>
  <c r="K14" i="1" s="1"/>
  <c r="I15" i="1"/>
  <c r="K15" i="1" s="1"/>
  <c r="I16" i="1"/>
  <c r="K16" i="1" s="1"/>
  <c r="I17" i="1"/>
  <c r="K17" i="1" s="1"/>
  <c r="I18" i="1"/>
  <c r="K18" i="1" s="1"/>
  <c r="I19" i="1"/>
  <c r="K19" i="1" s="1"/>
  <c r="I20" i="1"/>
  <c r="K20" i="1" s="1"/>
  <c r="B2" i="6"/>
  <c r="A3" i="6" s="1"/>
  <c r="I2" i="1"/>
  <c r="K2" i="1" s="1"/>
  <c r="I3" i="1"/>
  <c r="K3" i="1" s="1"/>
  <c r="I4" i="1"/>
  <c r="K4" i="1" s="1"/>
  <c r="I5" i="1"/>
  <c r="K5" i="1" s="1"/>
  <c r="I6" i="1"/>
  <c r="K6" i="1" s="1"/>
  <c r="I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C89A3-A90B-4CD5-BB38-DEBAB1657A8A}" keepAlive="1" name="Query - attachment;filename=PieChart_assetclass_360651" description="Connection to the 'attachment;filename=PieChart_assetclass_360651' query in the workbook." type="5" refreshedVersion="8" background="1" saveData="1">
    <dbPr connection="Provider=Microsoft.Mashup.OleDb.1;Data Source=$Workbook$;Location=&quot;attachment;filename=PieChart_assetclass_360651&quot;;Extended Properties=&quot;&quot;" command="SELECT * FROM [attachment;filename=PieChart_assetclass_36065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7">
    <bk>
      <extLst>
        <ext uri="{3e2802c4-a4d2-4d8b-9148-e3be6c30e623}">
          <xlrd:rvb i="0"/>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6"/>
        </ext>
      </extLst>
    </bk>
  </futureMetadata>
  <futureMetadata name="XLDAPR" count="1">
    <bk>
      <extLst>
        <ext uri="{bdbb8cdc-fa1e-496e-a857-3c3f30c029c3}">
          <xda:dynamicArrayProperties fDynamic="1" fCollapsed="0"/>
        </ext>
      </extLst>
    </bk>
  </futureMetadata>
  <cellMetadata count="1">
    <bk>
      <rc t="2" v="0"/>
    </bk>
  </cell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<sst xmlns="http://schemas.openxmlformats.org/spreadsheetml/2006/main" count="166" uniqueCount="120">
  <si>
    <t>Instructions</t>
  </si>
  <si>
    <t xml:space="preserve">Trading Log Template (Action-Based)
How to use:
1) Record EVERY action as a new row on the 'Trading Log' sheet:
   • Open: starting a new position
   • Adjust: changing size (Quantity is the change; positive to add, negative to reduce)
   • Close: closing part or all of a position (Quantity = number of units closed)
   • No Action: use once per reporting period if you made no changes; explain why
2) Keep 'Position After Trade' updated so we can see the running position size.
3) Provide a brief reason in the last column (or for 'No Action', a short rationale for holding).
4) Add longer commentary in the 'Explanations' sheet at the end of each reporting period.
Notes:
• 'Gross Trade Value' and 'Net Trade Value' can be formula-based (Qty*Price minus fees) or entered manually.
• Use the drop-downs for 'Action', 'Type', and 'Trade Currency'.
• We are NOT assessing portfolio performance here; the goal is to track decisions and rationale.
• Delete the 'Example (delete)' sheet before submission.
</t>
  </si>
  <si>
    <t>Trading Log</t>
  </si>
  <si>
    <t>-</t>
  </si>
  <si>
    <t>Team 5 Lon 2</t>
  </si>
  <si>
    <t>The Investment Challenge - CHL-0200</t>
  </si>
  <si>
    <t>Abdul Rafay Malik</t>
  </si>
  <si>
    <t>Prof. Daniela Neiderer</t>
  </si>
  <si>
    <t>Aliah Muhammad Asharaf</t>
  </si>
  <si>
    <t>Azriel Fernandes</t>
  </si>
  <si>
    <t>Date:</t>
  </si>
  <si>
    <t>Devarya Shah</t>
  </si>
  <si>
    <t>Kartavya Jharwal</t>
  </si>
  <si>
    <t>Nandini Prakash Rangani</t>
  </si>
  <si>
    <t>Pedro Junqueira</t>
  </si>
  <si>
    <t>Sayhan Mushrif</t>
  </si>
  <si>
    <t>Date (YYYY-MM-DD)</t>
  </si>
  <si>
    <t>Action (Open / Close / Adjust / No Action)</t>
  </si>
  <si>
    <t>Ticker</t>
  </si>
  <si>
    <t>Asset Name</t>
  </si>
  <si>
    <t>Type (Stock, ETF, Bond, FX, etc.)</t>
  </si>
  <si>
    <t>Quantity (positive number)</t>
  </si>
  <si>
    <t>Price per Unit</t>
  </si>
  <si>
    <t>Trade Currency</t>
  </si>
  <si>
    <t>Gross Trade Value (=Qty*Price)</t>
  </si>
  <si>
    <t>Fees / Commission</t>
  </si>
  <si>
    <t>Net Trade Value</t>
  </si>
  <si>
    <t>Position After Trade (units)</t>
  </si>
  <si>
    <t>Brief Reason (or reason for no change)</t>
  </si>
  <si>
    <t>Experimental Feature 
LIVE DATA</t>
  </si>
  <si>
    <t>Name</t>
  </si>
  <si>
    <t>52 Week High</t>
  </si>
  <si>
    <t>52 week low</t>
  </si>
  <si>
    <t>Last trade time</t>
  </si>
  <si>
    <t>Open</t>
  </si>
  <si>
    <t>Previous Close</t>
  </si>
  <si>
    <t>Beta</t>
  </si>
  <si>
    <t>Price</t>
  </si>
  <si>
    <t>Change</t>
  </si>
  <si>
    <t>Change (%)</t>
  </si>
  <si>
    <t>Volume</t>
  </si>
  <si>
    <t>SPY</t>
  </si>
  <si>
    <t>SPDR S&amp;P 500 ETF Trust</t>
  </si>
  <si>
    <t>ETF</t>
  </si>
  <si>
    <t>USD</t>
  </si>
  <si>
    <t>Broad exposure to the U.S. market. Core long-term holding.</t>
  </si>
  <si>
    <t>LMT</t>
  </si>
  <si>
    <t>Lockhead Martin Corp</t>
  </si>
  <si>
    <t>Stock</t>
  </si>
  <si>
    <t>Defense company with stable government contracts.</t>
  </si>
  <si>
    <t>XLP</t>
  </si>
  <si>
    <t>Consumer Staples Select Sector SPDR</t>
  </si>
  <si>
    <t>Consumer staples ETF. Defensive and stable.</t>
  </si>
  <si>
    <t>JNJ</t>
  </si>
  <si>
    <t>Johnson &amp; Johnson</t>
  </si>
  <si>
    <t>Healthcare stock. Reliable and defensive.</t>
  </si>
  <si>
    <t>PG</t>
  </si>
  <si>
    <t>Proctor &amp; Gamble Co.</t>
  </si>
  <si>
    <t>Strong global brands. Steady performance.</t>
  </si>
  <si>
    <t>WMT</t>
  </si>
  <si>
    <t>Walmart Inc.</t>
  </si>
  <si>
    <t>Large retailer. Performs well even in slow economies.</t>
  </si>
  <si>
    <t>XLU</t>
  </si>
  <si>
    <t>Utilities Select Sector SPDR</t>
  </si>
  <si>
    <t>Utilities ETF. Low risk and stable returns.</t>
  </si>
  <si>
    <t>TSM</t>
  </si>
  <si>
    <t>Taiwan Semiconductor Manufacturing - ADR</t>
  </si>
  <si>
    <t>AI chip foundry, 30% revenue growth guidance 2026</t>
  </si>
  <si>
    <t>MU</t>
  </si>
  <si>
    <t>Micron Technology Inc.</t>
  </si>
  <si>
    <t>HBM memory for AI data centers, fully booked 2026</t>
  </si>
  <si>
    <t>PLTR</t>
  </si>
  <si>
    <t>Palantir Technologies Inc</t>
  </si>
  <si>
    <t>AI software platform, government defense contracts</t>
  </si>
  <si>
    <t>JPM</t>
  </si>
  <si>
    <t>JPMorgan Chase &amp; Co.</t>
  </si>
  <si>
    <t>Banking sector exposure, diversified financials</t>
  </si>
  <si>
    <t>AMZN</t>
  </si>
  <si>
    <t>Amazon.com Inc.</t>
  </si>
  <si>
    <t>E-commerce leader plus AWS cloud infrastructure</t>
  </si>
  <si>
    <t>GOOGL</t>
  </si>
  <si>
    <t>Alphabet Inc - Class A</t>
  </si>
  <si>
    <t>Big tech AI infrastructure, search and cloud diversification</t>
  </si>
  <si>
    <t>GE</t>
  </si>
  <si>
    <t>GE Aerospace</t>
  </si>
  <si>
    <t>Industrial conglomerate, aerospace and energy exposure</t>
  </si>
  <si>
    <t>IONQ</t>
  </si>
  <si>
    <t>IonQ Inc</t>
  </si>
  <si>
    <t>Quantum computing infrastructure, speculative AI future tech</t>
  </si>
  <si>
    <t>Reporting Period Start 
(YYYY-MM-DD)</t>
  </si>
  <si>
    <t>Reporting Period End 
(YYYY-MM-DD)</t>
  </si>
  <si>
    <t>Strategy Summary (4–8 lines)</t>
  </si>
  <si>
    <t>Top 3 Decisions &amp; Why (bullets)</t>
  </si>
  <si>
    <t>What You Learned / Next Steps</t>
  </si>
  <si>
    <t>Momentum with risk caps per position (max 3% of portfolio). Focus on large-cap tech breakouts and macro-sensitive names ahead of CPI.</t>
  </si>
  <si>
    <t>Made SPY the foundation to reduce single-stock risk
Added LMT for stable defense-sector exposure
Overweighted defensive sectors to protect against downturns</t>
  </si>
  <si>
    <t>Maintain defensive positioning while monitoring sector concentration risk; avoid over-allocating to low-volatility names. Next: consider adding selective growth or international exposure and rebalance if defensive weight becomes excessive.</t>
  </si>
  <si>
    <t>1st log</t>
  </si>
  <si>
    <t>AssetClass</t>
  </si>
  <si>
    <t>Value</t>
  </si>
  <si>
    <t>Cash</t>
  </si>
  <si>
    <t>Long Equities</t>
  </si>
  <si>
    <t>Close</t>
  </si>
  <si>
    <t>GBP</t>
  </si>
  <si>
    <t>Adjust</t>
  </si>
  <si>
    <t>Bond</t>
  </si>
  <si>
    <t>EUR</t>
  </si>
  <si>
    <t>No Action</t>
  </si>
  <si>
    <t>Mutual Fund</t>
  </si>
  <si>
    <t>JPY</t>
  </si>
  <si>
    <t>FX</t>
  </si>
  <si>
    <t>CHF</t>
  </si>
  <si>
    <t>Crypto</t>
  </si>
  <si>
    <t>CAD</t>
  </si>
  <si>
    <t>Commodity</t>
  </si>
  <si>
    <t>AUD</t>
  </si>
  <si>
    <t>Index Future</t>
  </si>
  <si>
    <t>CNY</t>
  </si>
  <si>
    <t>Option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</si>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</sst>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16">
    <font>
      <sz val="11"/>
      <color theme="1"/>
      <name val="Calibri"/>
      <family val="2"/>
      <scheme val="minor"/>
    </font>
    <font>
      <b/>
      <sz val="12"/>
      <color theme="1"/>
      <name val="Calibri"/>
      <family val="2"/>
      <scheme val="minor"/>
    </font>
    <font>
      <sz val="11"/>
      <color theme="1"/>
      <name val="Bai Jamjuree"/>
    </font>
    <font>
      <b/>
      <sz val="16"/>
      <color theme="1"/>
      <name val="Bai Jamjuree"/>
    </font>
    <font>
      <b/>
      <sz val="12"/>
      <color theme="0"/>
      <name val="Bai Jamjuree"/>
    </font>
    <font>
      <sz val="12"/>
      <color theme="1"/>
      <name val="Bai Jamjuree"/>
    </font>
    <font>
      <sz val="18"/>
      <color theme="1"/>
      <name val="Bai Jamjuree"/>
    </font>
    <font>
      <sz val="12"/>
      <name val="Bai Jamjuree"/>
    </font>
    <font>
      <b/>
      <sz val="12"/>
      <name val="Bai Jamjuree"/>
    </font>
    <font>
      <sz val="72"/>
      <name val="Bai Jamjuree"/>
    </font>
    <font>
      <sz val="16"/>
      <name val="Bai Jamjuree"/>
    </font>
    <font>
      <sz val="22"/>
      <name val="Bai Jamjuree"/>
    </font>
    <font>
      <sz val="72"/>
      <name val="Poppins"/>
    </font>
    <font>
      <b/>
      <sz val="22"/>
      <name val="Bai Jamjuree"/>
    </font>
    <font>
      <sz val="20"/>
      <color theme="1"/>
      <name val="Bai Jamjuree"/>
    </font>
    <font>
      <sz val="11"/>
      <color rgb="FFFF0000"/>
      <name val="Bai Jamjuree"/>
    </font>
  </fonts>
  <fills count="3">
    <fill>
      <patternFill patternType="none"/>
    </fill>
    <fill>
      <patternFill patternType="gray125"/>
    </fill>
    <fill>
      <patternFill patternType="solid">
        <fgColor theme="4"/>
        <bgColor theme="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2" fillId="0" borderId="0" xfId="0" applyFont="1" applyAlignment="1">
      <alignment wrapText="1"/>
    </xf>
    <xf numFmtId="14"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vertical="center"/>
    </xf>
    <xf numFmtId="4" fontId="2" fillId="0" borderId="0" xfId="0" applyNumberFormat="1" applyFont="1" applyAlignment="1">
      <alignment horizontal="right" vertical="center"/>
    </xf>
    <xf numFmtId="0" fontId="2" fillId="0" borderId="0" xfId="0" applyFont="1" applyAlignment="1">
      <alignment vertical="center" wrapText="1"/>
    </xf>
    <xf numFmtId="4" fontId="2" fillId="0" borderId="0" xfId="0" applyNumberFormat="1" applyFont="1" applyAlignment="1">
      <alignment horizontal="right"/>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0" fontId="4" fillId="2" borderId="1" xfId="0" applyFont="1" applyFill="1" applyBorder="1" applyAlignment="1">
      <alignment horizontal="center" vertical="top" wrapText="1"/>
    </xf>
    <xf numFmtId="0" fontId="5" fillId="0" borderId="0" xfId="0" applyFont="1"/>
    <xf numFmtId="14" fontId="5" fillId="0" borderId="1" xfId="0" applyNumberFormat="1" applyFont="1" applyBorder="1" applyAlignment="1">
      <alignment horizontal="center" vertical="center"/>
    </xf>
    <xf numFmtId="0" fontId="5" fillId="0" borderId="1" xfId="0" applyFont="1" applyBorder="1" applyAlignment="1">
      <alignment vertical="center" wrapText="1"/>
    </xf>
    <xf numFmtId="14" fontId="5" fillId="0" borderId="1" xfId="0" applyNumberFormat="1" applyFont="1" applyBorder="1" applyAlignment="1">
      <alignment vertical="center"/>
    </xf>
    <xf numFmtId="14" fontId="5" fillId="0" borderId="0" xfId="0" applyNumberFormat="1"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164" fontId="2" fillId="0" borderId="0" xfId="0" applyNumberFormat="1" applyFont="1"/>
    <xf numFmtId="0" fontId="3" fillId="0" borderId="0" xfId="0" applyFont="1" applyAlignment="1">
      <alignment horizontal="center" vertical="top" wrapText="1"/>
    </xf>
    <xf numFmtId="22" fontId="2" fillId="0" borderId="0" xfId="0" applyNumberFormat="1" applyFont="1"/>
    <xf numFmtId="4" fontId="2" fillId="0" borderId="0" xfId="0" applyNumberFormat="1" applyFont="1"/>
    <xf numFmtId="10" fontId="2" fillId="0" borderId="0" xfId="0" applyNumberFormat="1" applyFont="1"/>
    <xf numFmtId="3" fontId="2" fillId="0" borderId="0" xfId="0" applyNumberFormat="1" applyFont="1"/>
    <xf numFmtId="0" fontId="6" fillId="0" borderId="0" xfId="0" applyFont="1" applyAlignment="1">
      <alignment wrapText="1"/>
    </xf>
    <xf numFmtId="0" fontId="7" fillId="0" borderId="0" xfId="0" applyFont="1"/>
    <xf numFmtId="0" fontId="7" fillId="0" borderId="0" xfId="0" applyFont="1" applyAlignment="1">
      <alignment horizontal="left" vertical="center" readingOrder="1"/>
    </xf>
    <xf numFmtId="0" fontId="8" fillId="0" borderId="0" xfId="0" applyFont="1" applyAlignment="1">
      <alignment horizontal="left" vertical="center"/>
    </xf>
    <xf numFmtId="0" fontId="7" fillId="0" borderId="0" xfId="0" applyFont="1" applyAlignment="1">
      <alignment horizontal="left"/>
    </xf>
    <xf numFmtId="0" fontId="10" fillId="0" borderId="0" xfId="0" applyFont="1" applyAlignment="1">
      <alignment horizontal="left"/>
    </xf>
    <xf numFmtId="0" fontId="10" fillId="0" borderId="0" xfId="0" applyFont="1" applyAlignment="1">
      <alignment horizontal="left" vertical="center"/>
    </xf>
    <xf numFmtId="0" fontId="13" fillId="0" borderId="0" xfId="0" applyFont="1" applyAlignment="1">
      <alignment horizontal="center" vertical="center"/>
    </xf>
    <xf numFmtId="0" fontId="14" fillId="0" borderId="0" xfId="0" applyFont="1" applyAlignment="1">
      <alignment wrapText="1"/>
    </xf>
    <xf numFmtId="0" fontId="15" fillId="0" borderId="0" xfId="0" applyFont="1"/>
    <xf numFmtId="0" fontId="7" fillId="0" borderId="0" xfId="0" applyFont="1" applyAlignment="1">
      <alignment horizontal="center"/>
    </xf>
    <xf numFmtId="0" fontId="9" fillId="0" borderId="0" xfId="0" applyFont="1" applyAlignment="1">
      <alignment horizontal="right" vertical="center"/>
    </xf>
    <xf numFmtId="0" fontId="12" fillId="0" borderId="0" xfId="0" applyFont="1" applyAlignment="1">
      <alignment horizontal="center" vertical="center"/>
    </xf>
    <xf numFmtId="0" fontId="10" fillId="0" borderId="0" xfId="0" applyFont="1" applyAlignment="1">
      <alignment horizontal="center" vertical="center"/>
    </xf>
    <xf numFmtId="14" fontId="11" fillId="0" borderId="0" xfId="0" applyNumberFormat="1" applyFont="1" applyAlignment="1">
      <alignment horizontal="center" vertical="center"/>
    </xf>
  </cellXfs>
  <cellStyles count="1">
    <cellStyle name="Normal" xfId="0" builtinId="0"/>
  </cellStyles>
  <dxfs count="30">
    <dxf>
      <font>
        <strike val="0"/>
        <outline val="0"/>
        <shadow val="0"/>
        <u val="none"/>
        <vertAlign val="baseline"/>
        <name val="Bai Jamjuree"/>
        <scheme val="none"/>
      </font>
      <alignment vertical="center" textRotation="0" wrapText="1" indent="0" justifyLastLine="0" shrinkToFit="0" readingOrder="0"/>
    </dxf>
    <dxf>
      <font>
        <b val="0"/>
        <i val="0"/>
        <strike val="0"/>
        <condense val="0"/>
        <extend val="0"/>
        <outline val="0"/>
        <shadow val="0"/>
        <u val="none"/>
        <vertAlign val="baseline"/>
        <sz val="11"/>
        <color theme="1"/>
        <name val="Bai Jamjuree"/>
        <scheme val="none"/>
      </font>
      <alignment horizontal="general" vertical="bottom" textRotation="0" wrapText="1"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font>
        <strike val="0"/>
        <outline val="0"/>
        <shadow val="0"/>
        <u val="none"/>
        <vertAlign val="baseline"/>
        <name val="Bai Jamjuree"/>
        <scheme val="none"/>
      </font>
      <numFmt numFmtId="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scheme val="none"/>
      </font>
      <numFmt numFmtId="4" formatCode="#,##0.00"/>
      <alignment horizontal="right" vertical="bottom" textRotation="0" wrapText="0" indent="0" justifyLastLine="0" shrinkToFit="0" readingOrder="0"/>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scheme val="none"/>
      </font>
    </dxf>
    <dxf>
      <font>
        <strike val="0"/>
        <outline val="0"/>
        <shadow val="0"/>
        <u val="none"/>
        <vertAlign val="baseline"/>
        <name val="Bai Jamjuree"/>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scheme val="none"/>
      </font>
      <alignment horizontal="general" vertical="bottom" textRotation="0" wrapText="0" indent="0" justifyLastLine="0" shrinkToFit="0" readingOrder="0"/>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scheme val="none"/>
      </font>
    </dxf>
    <dxf>
      <font>
        <strike val="0"/>
        <outline val="0"/>
        <shadow val="0"/>
        <u val="none"/>
        <vertAlign val="baseline"/>
        <name val="Bai Jamjuree"/>
        <scheme val="none"/>
      </font>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scheme val="none"/>
      </font>
      <alignment horizontal="right"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scheme val="none"/>
      </font>
      <alignment horizontal="center" vertical="bottom" textRotation="0" wrapText="0" indent="0" justifyLastLine="0" shrinkToFit="0" readingOrder="0"/>
    </dxf>
    <dxf>
      <border outline="0">
        <bottom style="thin">
          <color auto="1"/>
        </bottom>
      </border>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491749-9FA6-4C2D-A82F-B78456C80333}" autoFormatId="16" applyNumberFormats="0" applyBorderFormats="0" applyFontFormats="0" applyPatternFormats="0" applyAlignmentFormats="0" applyWidthHeightFormats="0">
  <queryTableRefresh nextId="3">
    <queryTableFields count="2">
      <queryTableField id="1" name="AssetClass" tableColumnId="1"/>
      <queryTableField id="2" name="Value" tableColumnId="2"/>
    </queryTableFields>
  </queryTableRefresh>
</queryTable>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7">
  <rv s="0">
    <v>0</v>
    <v>5</v>
  </rv>
  <rv s="1">
    <v>https://www.bing.com/financeapi/forcetrigger?t=a23hqh&amp;q=ARCX%3aSPY&amp;form=skydnc</v>
    <v>Learn more on Bing</v>
  </rv>
  <rv s="2">
    <v>en-GB</v>
    <v>a23hqh</v>
    <v>268435456</v>
    <v>1</v>
    <v>Powered by Refinitiv</v>
    <v>0</v>
    <v>State Street SPDR S&amp;P500 (ARCX:SPY)</v>
    <v>2</v>
    <v>3</v>
    <v>Finance</v>
    <v>4</v>
    <v>697.84</v>
    <v>481.8</v>
    <v>0.99860000000000004</v>
    <v>1.665</v>
    <v>2.4420000000000002E-3</v>
    <v>USD</v>
    <v>NYSE Arca</v>
    <v>ARCX</v>
    <v>8.9999999999999998E-4</v>
    <v>684.94</v>
    <v>ETF</v>
    <v>46070.840447916409</v>
    <v>1</v>
    <v>675.78</v>
    <v>708919250698.56995</v>
    <v>State Street SPDR S&amp;P500</v>
    <v>680.14</v>
    <v>681.75</v>
    <v>683.41499999999996</v>
    <v>SPY</v>
    <v>State Street SPDR S&amp;P500 (ARCX:SPY)</v>
    <v>62947750</v>
    <v>83035278</v>
  </rv>
  <rv s="3">
    <v>2</v>
  </rv>
  <rv s="1">
    <v>https://www.bing.com/financeapi/forcetrigger?t=a1wzw7&amp;q=XNYS%3aLMT&amp;form=skydnc</v>
    <v>Learn more on Bing</v>
  </rv>
  <rv s="4">
    <v>en-GB</v>
    <v>a1wzw7</v>
    <v>268435456</v>
    <v>1</v>
    <v>Powered by Refinitiv</v>
    <v>5</v>
    <v>LOCKHEED MARTIN CORPORATION (XNYS:LMT)</v>
    <v>6</v>
    <v>7</v>
    <v>Finance</v>
    <v>8</v>
    <v>656.34</v>
    <v>410.11</v>
    <v>0.22559999999999999</v>
    <v>-1.96</v>
    <v>-3.003E-3</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656.22</v>
    <v>Aerospace &amp; Defense</v>
    <v>Stock</v>
    <v>46070.840453865625</v>
    <v>4</v>
    <v>642</v>
    <v>149694779724</v>
    <v>LOCKHEED MARTIN CORPORATION</v>
    <v>LOCKHEED MARTIN CORPORATION</v>
    <v>653.29</v>
    <v>30.280999999999999</v>
    <v>652.58000000000004</v>
    <v>650.62</v>
    <v>230080200</v>
    <v>LMT</v>
    <v>LOCKHEED MARTIN CORPORATION (XNYS:LMT)</v>
    <v>853324</v>
    <v>1912444</v>
    <v>1994</v>
  </rv>
  <rv s="3">
    <v>5</v>
  </rv>
  <rv s="1">
    <v>https://www.bing.com/financeapi/forcetrigger?t=a2686h&amp;q=ARCX%3aXLP&amp;form=skydnc</v>
    <v>Learn more on Bing</v>
  </rv>
  <rv s="2">
    <v>en-GB</v>
    <v>a2686h</v>
    <v>268435456</v>
    <v>1</v>
    <v>Powered by Refinitiv</v>
    <v>0</v>
    <v>Sel Sector:C SSS SPDR I (ARCX:XLP)</v>
    <v>2</v>
    <v>3</v>
    <v>Finance</v>
    <v>4</v>
    <v>90.14</v>
    <v>75.16</v>
    <v>0.96619999999999995</v>
    <v>-1.5349999999999999</v>
    <v>-1.7149000000000001E-2</v>
    <v>USD</v>
    <v>NYSE Arca</v>
    <v>ARCX</v>
    <v>8.0000000000000004E-4</v>
    <v>90.14</v>
    <v>ETF</v>
    <v>46070.840437510939</v>
    <v>7</v>
    <v>87.65</v>
    <v>16153370670.969999</v>
    <v>Sel Sector:C SSS SPDR I</v>
    <v>89.75</v>
    <v>89.51</v>
    <v>87.974999999999994</v>
    <v>XLP</v>
    <v>Sel Sector:C SSS SPDR I (ARCX:XLP)</v>
    <v>22010497</v>
    <v>24225942</v>
  </rv>
  <rv s="3">
    <v>8</v>
  </rv>
  <rv s="1">
    <v>https://www.bing.com/financeapi/forcetrigger?t=a1w8ec&amp;q=XNYS%3aJNJ&amp;form=skydnc</v>
    <v>Learn more on Bing</v>
  </rv>
  <rv s="4">
    <v>en-GB</v>
    <v>a1w8ec</v>
    <v>268435456</v>
    <v>1</v>
    <v>Powered by Refinitiv</v>
    <v>5</v>
    <v>JOHNSON &amp; JOHNSON (XNYS:JNJ)</v>
    <v>6</v>
    <v>7</v>
    <v>Finance</v>
    <v>8</v>
    <v>246.34989999999999</v>
    <v>141.5</v>
    <v>0.33129999999999998</v>
    <v>0.192</v>
    <v>7.8869999999999993E-4</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138200</v>
    <v>New York Stock Exchange</v>
    <v>XNYS</v>
    <v>XNYS</v>
    <v>One Johnson &amp; Johnson Plaza, NEW BRUNSWICK, NJ, 08933 US</v>
    <v>244.49</v>
    <v>Pharmaceuticals</v>
    <v>Stock</v>
    <v>46070.840439189065</v>
    <v>10</v>
    <v>241.87</v>
    <v>587152612158</v>
    <v>JOHNSON &amp; JOHNSON</v>
    <v>JOHNSON &amp; JOHNSON</v>
    <v>242.44</v>
    <v>22.064599999999999</v>
    <v>243.45</v>
    <v>243.642</v>
    <v>2409899000</v>
    <v>JNJ</v>
    <v>JOHNSON &amp; JOHNSON (XNYS:JNJ)</v>
    <v>5125583</v>
    <v>9780253</v>
    <v>1887</v>
  </rv>
  <rv s="3">
    <v>11</v>
  </rv>
  <rv s="1">
    <v>https://www.bing.com/financeapi/forcetrigger?t=a1zsjc&amp;q=XNYS%3aPG&amp;form=skydnc</v>
    <v>Learn more on Bing</v>
  </rv>
  <rv s="4">
    <v>en-GB</v>
    <v>a1zsjc</v>
    <v>268435456</v>
    <v>1</v>
    <v>Powered by Refinitiv</v>
    <v>5</v>
    <v>THE PROCTER &amp; GAMBLE COMPANY (XNYS:PG)</v>
    <v>6</v>
    <v>7</v>
    <v>Finance</v>
    <v>8</v>
    <v>179.99</v>
    <v>137.62</v>
    <v>0.3674</v>
    <v>-0.48</v>
    <v>-2.9989999999999999E-3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162.16999999999999</v>
    <v>Personal &amp; Household Products &amp; Services</v>
    <v>Stock</v>
    <v>46070.840422441404</v>
    <v>13</v>
    <v>158.88</v>
    <v>370887319590</v>
    <v>THE PROCTER &amp; GAMBLE COMPANY</v>
    <v>THE PROCTER &amp; GAMBLE COMPANY</v>
    <v>159.94999999999999</v>
    <v>23.646799999999999</v>
    <v>160.07</v>
    <v>159.59</v>
    <v>2324001000</v>
    <v>PG</v>
    <v>THE PROCTER &amp; GAMBLE COMPANY (XNYS:PG)</v>
    <v>8275800</v>
    <v>12176032</v>
    <v>1905</v>
  </rv>
  <rv s="3">
    <v>14</v>
  </rv>
  <rv s="1">
    <v>https://www.bing.com/financeapi/forcetrigger?t=a25ya2&amp;q=XNYS%3aWMT&amp;form=skydnc</v>
    <v>Learn more on Bing</v>
  </rv>
  <rv s="4">
    <v>en-GB</v>
    <v>a25ya2</v>
    <v>268435456</v>
    <v>1</v>
    <v>Powered by Refinitiv</v>
    <v>5</v>
    <v>WALMART INC. (XNAS:WMT)</v>
    <v>6</v>
    <v>7</v>
    <v>Finance</v>
    <v>8</v>
    <v>134.69</v>
    <v>79.81</v>
    <v>0.64290000000000003</v>
    <v>-5.2750000000000004</v>
    <v>-3.9398000000000002E-2</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134.69</v>
    <v>Food &amp; Drug Retailing</v>
    <v>Stock</v>
    <v>46070.840446122653</v>
    <v>16</v>
    <v>128.16</v>
    <v>1025083028705</v>
    <v>WALMART INC.</v>
    <v>WALMART INC.</v>
    <v>133.21</v>
    <v>45.110700000000001</v>
    <v>133.88999999999999</v>
    <v>128.61500000000001</v>
    <v>7970167000</v>
    <v>WMT</v>
    <v>WALMART INC. (XNAS:WMT)</v>
    <v>23291326</v>
    <v>43368455</v>
    <v>1969</v>
  </rv>
  <rv s="3">
    <v>17</v>
  </rv>
  <rv s="1">
    <v>https://www.bing.com/financeapi/forcetrigger?t=a268f2&amp;q=ARCX%3aXLU&amp;form=skydnc</v>
    <v>Learn more on Bing</v>
  </rv>
  <rv s="2">
    <v>en-GB</v>
    <v>a268f2</v>
    <v>268435456</v>
    <v>1</v>
    <v>Powered by Refinitiv</v>
    <v>0</v>
    <v>Sel Sector:Utl SS SPDR (ARCX:XLU)</v>
    <v>2</v>
    <v>3</v>
    <v>Finance</v>
    <v>4</v>
    <v>47.075000000000003</v>
    <v>35.51</v>
    <v>0.99719999999999998</v>
    <v>-0.23499999999999999</v>
    <v>-5.0539999999999995E-3</v>
    <v>USD</v>
    <v>NYSE Arca</v>
    <v>ARCX</v>
    <v>8.0000000000000004E-4</v>
    <v>47.075000000000003</v>
    <v>ETF</v>
    <v>46070.840422939065</v>
    <v>19</v>
    <v>46.256</v>
    <v>22197570894.380001</v>
    <v>Sel Sector:Utl SS SPDR</v>
    <v>46.63</v>
    <v>46.5</v>
    <v>46.265000000000001</v>
    <v>XLU</v>
    <v>Sel Sector:Utl SS SPDR (ARCX:XLU)</v>
    <v>25892835</v>
    <v>28203419</v>
  </rv>
  <rv s="3">
    <v>20</v>
  </rv>
  <rv s="1">
    <v>https://www.bing.com/financeapi/forcetrigger?t=a24kjc&amp;q=XNYS%3aTSM&amp;form=skydnc</v>
    <v>Learn more on Bing</v>
  </rv>
  <rv s="4">
    <v>en-GB</v>
    <v>a24kjc</v>
    <v>268435456</v>
    <v>1</v>
    <v>Powered by Refinitiv</v>
    <v>5</v>
    <v>Taiwan Semiconductor Manufacturing Co., Ltd. (XNYS:TSM)</v>
    <v>6</v>
    <v>7</v>
    <v>Finance</v>
    <v>8</v>
    <v>380</v>
    <v>134.25</v>
    <v>1.4396</v>
    <v>-1.7350000000000001</v>
    <v>-4.7360000000000006E-3</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366.2</v>
    <v>Semiconductors &amp; Semiconductor Equipment</v>
    <v>Stock</v>
    <v>46070.840466608592</v>
    <v>22</v>
    <v>356.24</v>
    <v>1891129385625</v>
    <v>Taiwan Semiconductor Manufacturing Co., Ltd.</v>
    <v>Taiwan Semiconductor Manufacturing Co., Ltd.</v>
    <v>361.43</v>
    <v>34.489400000000003</v>
    <v>366.36</v>
    <v>364.625</v>
    <v>25932530000</v>
    <v>TSM</v>
    <v>Taiwan Semiconductor Manufacturing Co., Ltd. (XNYS:TSM)</v>
    <v>8341671</v>
    <v>15264240</v>
    <v>1987</v>
  </rv>
  <rv s="3">
    <v>23</v>
  </rv>
  <rv s="1">
    <v>https://www.bing.com/financeapi/forcetrigger?t=a1y4oc&amp;q=XNAS%3aMU&amp;form=skydnc</v>
    <v>Learn more on Bing</v>
  </rv>
  <rv s="4">
    <v>en-GB</v>
    <v>a1y4oc</v>
    <v>268435456</v>
    <v>1</v>
    <v>Powered by Refinitiv</v>
    <v>5</v>
    <v>MICRON TECHNOLOGY, INC. (XNAS:MU)</v>
    <v>6</v>
    <v>7</v>
    <v>Finance</v>
    <v>8</v>
    <v>455.5</v>
    <v>61.54</v>
    <v>1.5065</v>
    <v>-10.08</v>
    <v>-2.4485999999999997E-2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Compute and Networking Business Unit (CNBU), Mobile Business Unit (MBU), Embedded Business Unit (EBU), and Storage Business Unit (SBU). CNBU segment includes memory products and solutions sold into the data center, PC, graphics, and networking markets. MBU segment includes memory and storage products sold into the smartphone and other mobile-device markets. EBU segment includes memory and storage products and solutions sold into the intelligent edge through the automotive, industrial, and consumer embedded markets. SBU segment includes SSDs and component-level storage solutions sold into the data center, PC, and consumer markets.</v>
    <v>53000</v>
    <v>Nasdaq Stock Market</v>
    <v>XNAS</v>
    <v>XNAS</v>
    <v>8000 S Federal Way, Po Box 6, BOISE, ID, 83716-9632 US</v>
    <v>413.66</v>
    <v>Semiconductors &amp; Semiconductor Equipment</v>
    <v>Stock</v>
    <v>46070.84046427031</v>
    <v>25</v>
    <v>395.3</v>
    <v>451981904220</v>
    <v>MICRON TECHNOLOGY, INC.</v>
    <v>MICRON TECHNOLOGY, INC.</v>
    <v>400.61</v>
    <v>38.173000000000002</v>
    <v>411.66</v>
    <v>401.58</v>
    <v>1125509000</v>
    <v>MU</v>
    <v>MICRON TECHNOLOGY, INC. (XNAS:MU)</v>
    <v>21735002</v>
    <v>38653623</v>
    <v>1984</v>
  </rv>
  <rv s="3">
    <v>26</v>
  </rv>
  <rv s="1">
    <v>https://www.bing.com/financeapi/forcetrigger?t=bvsk7w&amp;q=XNYS%3aPLTR&amp;form=skydnc</v>
    <v>Learn more on Bing</v>
  </rv>
  <rv s="4">
    <v>en-GB</v>
    <v>bvsk7w</v>
    <v>268435456</v>
    <v>1</v>
    <v>Powered by Refinitiv</v>
    <v>5</v>
    <v>PALANTIR TECHNOLOGIES INC. (XNAS:PLTR)</v>
    <v>6</v>
    <v>7</v>
    <v>Finance</v>
    <v>8</v>
    <v>207.52</v>
    <v>66.12</v>
    <v>1.7126999999999999</v>
    <v>1.8129999999999999</v>
    <v>1.3796999999999999E-2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4414</v>
    <v>Nasdaq Stock Market</v>
    <v>XNAS</v>
    <v>XNAS</v>
    <v>1200 17Th Street, Floor 15, DENVER, CO, 80202 US</v>
    <v>134.32</v>
    <v>Software &amp; IT Services</v>
    <v>Stock</v>
    <v>46070.840438390624</v>
    <v>28</v>
    <v>127.29</v>
    <v>317394605113</v>
    <v>PALANTIR TECHNOLOGIES INC.</v>
    <v>PALANTIR TECHNOLOGIES INC.</v>
    <v>128.78</v>
    <v>210.52940000000001</v>
    <v>131.41</v>
    <v>133.22300000000001</v>
    <v>2382431000</v>
    <v>PLTR</v>
    <v>PALANTIR TECHNOLOGIES INC. (XNAS:PLTR)</v>
    <v>38620078</v>
    <v>52355864</v>
    <v>2003</v>
  </rv>
  <rv s="3">
    <v>29</v>
  </rv>
  <rv s="1">
    <v>https://www.bing.com/financeapi/forcetrigger?t=a1waa2&amp;q=XNYS%3aJPM&amp;form=skydnc</v>
    <v>Learn more on Bing</v>
  </rv>
  <rv s="4">
    <v>en-GB</v>
    <v>a1waa2</v>
    <v>268435456</v>
    <v>1</v>
    <v>Powered by Refinitiv</v>
    <v>5</v>
    <v>JPMORGAN CHASE &amp; CO. (XNYS:JPM)</v>
    <v>6</v>
    <v>7</v>
    <v>Finance</v>
    <v>8</v>
    <v>337.25</v>
    <v>202.16</v>
    <v>1.0526</v>
    <v>4.7149999999999999</v>
    <v>1.5584000000000001E-2</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308.21499999999997</v>
    <v>Banking Services</v>
    <v>Stock</v>
    <v>46070.84044021953</v>
    <v>31</v>
    <v>302.5</v>
    <v>828703537480</v>
    <v>JPMORGAN CHASE &amp; CO.</v>
    <v>JPMORGAN CHASE &amp; CO.</v>
    <v>303.69</v>
    <v>15.355</v>
    <v>302.55</v>
    <v>307.26499999999999</v>
    <v>2697032000</v>
    <v>JPM</v>
    <v>JPMORGAN CHASE &amp; CO. (XNYS:JPM)</v>
    <v>4749681</v>
    <v>12306280</v>
    <v>1968</v>
  </rv>
  <rv s="3">
    <v>32</v>
  </rv>
  <rv s="1">
    <v>https://www.bing.com/financeapi/forcetrigger?t=a1nhlh&amp;q=XNAS%3aAMZN&amp;form=skydnc</v>
    <v>Learn more on Bing</v>
  </rv>
  <rv s="4">
    <v>en-GB</v>
    <v>a1nhlh</v>
    <v>268435456</v>
    <v>1</v>
    <v>Powered by Refinitiv</v>
    <v>5</v>
    <v>AMAZON.COM, INC. (XNAS:AMZN)</v>
    <v>6</v>
    <v>7</v>
    <v>Finance</v>
    <v>8</v>
    <v>258.60000000000002</v>
    <v>161.38</v>
    <v>1.419</v>
    <v>2.2000000000000002</v>
    <v>1.1067E-2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201.7362</v>
    <v>Diversified Retail</v>
    <v>Stock</v>
    <v>46070.840469131253</v>
    <v>34</v>
    <v>196</v>
    <v>2157611570800</v>
    <v>AMAZON.COM, INC.</v>
    <v>AMAZON.COM, INC.</v>
    <v>198.1</v>
    <v>28.023499999999999</v>
    <v>198.79</v>
    <v>200.99</v>
    <v>10734920000</v>
    <v>AMZN</v>
    <v>AMAZON.COM, INC. (XNAS:AMZN)</v>
    <v>53369957</v>
    <v>56198124</v>
    <v>1996</v>
  </rv>
  <rv s="3">
    <v>35</v>
  </rv>
  <rv s="1">
    <v>https://www.bing.com/financeapi/forcetrigger?t=a1u3rw&amp;q=XNAS%3aGOOGL&amp;form=skydnc</v>
    <v>Learn more on Bing</v>
  </rv>
  <rv s="4">
    <v>en-GB</v>
    <v>a1u3rw</v>
    <v>268435456</v>
    <v>1</v>
    <v>Powered by Refinitiv</v>
    <v>5</v>
    <v>ALPHABET INC. (XNAS:GOOGL)</v>
    <v>6</v>
    <v>7</v>
    <v>Finance</v>
    <v>8</v>
    <v>349</v>
    <v>140.53</v>
    <v>1.1077999999999999</v>
    <v>-4.05</v>
    <v>-1.3247E-2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304.435</v>
    <v>Software &amp; IT Services</v>
    <v>Stock</v>
    <v>46070.84044006875</v>
    <v>37</v>
    <v>296.25</v>
    <v>3649301990000</v>
    <v>ALPHABET INC.</v>
    <v>ALPHABET INC.</v>
    <v>300.3</v>
    <v>27.906600000000001</v>
    <v>305.72000000000003</v>
    <v>301.67</v>
    <v>12097000000</v>
    <v>GOOGL</v>
    <v>ALPHABET INC. (XNAS:GOOGL)</v>
    <v>29573103</v>
    <v>38214553</v>
    <v>2015</v>
  </rv>
  <rv s="3">
    <v>38</v>
  </rv>
  <rv s="1">
    <v>https://www.bing.com/financeapi/forcetrigger?t=a1tr1h&amp;q=XNYS%3aGE&amp;form=skydnc</v>
    <v>Learn more on Bing</v>
  </rv>
  <rv s="4">
    <v>en-GB</v>
    <v>a1tr1h</v>
    <v>268435456</v>
    <v>1</v>
    <v>Powered by Refinitiv</v>
    <v>5</v>
    <v>GENERAL ELECTRIC COMPANY (XNYS:GE)</v>
    <v>6</v>
    <v>7</v>
    <v>Finance</v>
    <v>8</v>
    <v>332.79</v>
    <v>159.36000000000001</v>
    <v>1.3885000000000001</v>
    <v>11.61</v>
    <v>3.6809000000000001E-2</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57000</v>
    <v>New York Stock Exchange</v>
    <v>XNYS</v>
    <v>XNYS</v>
    <v>1 Neumann Way, Evendale, OH, 45215 US</v>
    <v>330.4</v>
    <v>Aerospace &amp; Defense</v>
    <v>Stock</v>
    <v>46070.840462707813</v>
    <v>40</v>
    <v>314.88</v>
    <v>342983154280</v>
    <v>GENERAL ELECTRIC COMPANY</v>
    <v>GENERAL ELECTRIC COMPANY</v>
    <v>315.10000000000002</v>
    <v>40.591799999999999</v>
    <v>315.41000000000003</v>
    <v>327.02</v>
    <v>1048814000</v>
    <v>GE</v>
    <v>GENERAL ELECTRIC COMPANY (XNYS:GE)</v>
    <v>3717927</v>
    <v>6162888</v>
    <v>1892</v>
  </rv>
  <rv s="3">
    <v>41</v>
  </rv>
  <rv s="1">
    <v>https://www.bing.com/financeapi/forcetrigger?t=bxb5m7&amp;q=XNYS%3aIONQ&amp;form=skydnc</v>
    <v>Learn more on Bing</v>
  </rv>
  <rv s="4">
    <v>en-GB</v>
    <v>bxb5m7</v>
    <v>268435456</v>
    <v>1</v>
    <v>Powered by Refinitiv</v>
    <v>5</v>
    <v>IONQ, INC. (XNYS:IONQ)</v>
    <v>6</v>
    <v>7</v>
    <v>Finance</v>
    <v>8</v>
    <v>84.64</v>
    <v>17.88</v>
    <v>2.6347</v>
    <v>-0.35</v>
    <v>-1.0260999999999999E-2</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407</v>
    <v>New York Stock Exchange</v>
    <v>XNYS</v>
    <v>XNYS</v>
    <v>4505 Campus Drive, Suite 100, COLLEGE PARK, MD, 20740 US</v>
    <v>34.318300000000001</v>
    <v>Computers, Phones &amp; Household Electronics</v>
    <v>Stock</v>
    <v>46070.840456203128</v>
    <v>43</v>
    <v>31.85</v>
    <v>12132017232</v>
    <v>IONQ, INC.</v>
    <v>IONQ, INC.</v>
    <v>33.47</v>
    <v>0</v>
    <v>34.11</v>
    <v>33.76</v>
    <v>359360700</v>
    <v>IONQ</v>
    <v>IONQ, INC. (XNYS:IONQ)</v>
    <v>10734273</v>
    <v>22000786</v>
    <v>2020</v>
  </rv>
  <rv s="3">
    <v>44</v>
  </rv>
  <rv s="0">
    <v>1</v>
    <v>5</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9">
    <spb s="0">
      <v>0</v>
      <v>Name</v>
      <v>LearnMoreOnLink</v>
    </spb>
    <spb s="1">
      <v>0</v>
      <v>0</v>
      <v>0</v>
    </spb>
    <spb s="2">
      <v>1</v>
      <v>1</v>
      <v>1</v>
    </spb>
    <spb s="3">
      <v>1</v>
      <v>2</v>
      <v>1</v>
      <v>3</v>
      <v>1</v>
      <v>1</v>
      <v>1</v>
      <v>4</v>
      <v>5</v>
      <v>6</v>
      <v>1</v>
      <v>1</v>
      <v>5</v>
      <v>1</v>
      <v>4</v>
      <v>7</v>
      <v>8</v>
    </spb>
    <spb s="4">
      <v>Real-Time Nasdaq Last Sale</v>
      <v>from previous close</v>
      <v>Source: Nasdaq Last Sale</v>
      <v>from previous close</v>
      <v>GMT</v>
    </spb>
    <spb s="0">
      <v>1</v>
      <v>Name</v>
      <v>LearnMoreOnLink</v>
    </spb>
    <spb s="5">
      <v>1</v>
      <v>1</v>
      <v>1</v>
      <v>1</v>
    </spb>
    <spb s="6">
      <v>1</v>
      <v>2</v>
      <v>2</v>
      <v>1</v>
      <v>3</v>
      <v>1</v>
      <v>1</v>
      <v>1</v>
      <v>4</v>
      <v>4</v>
      <v>5</v>
      <v>6</v>
      <v>1</v>
      <v>1</v>
      <v>1</v>
      <v>4</v>
      <v>7</v>
      <v>9</v>
      <v>8</v>
      <v>4</v>
    </spb>
    <spb s="7">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dingLogTable" displayName="TradingLogTable" ref="A1:M21" totalsRowCount="1" headerRowDxfId="29" dataDxfId="28" totalsRowDxfId="27" headerRowBorderDxfId="26">
  <autoFilter ref="A1:M2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000-000001000000}" name="Date (YYYY-MM-DD)" dataDxfId="24" totalsRowDxfId="25"/>
    <tableColumn id="3" xr3:uid="{00000000-0010-0000-0000-000003000000}" name="Action (Open / Close / Adjust / No Action)" dataDxfId="22" totalsRowDxfId="23"/>
    <tableColumn id="4" xr3:uid="{00000000-0010-0000-0000-000004000000}" name="Ticker" dataDxfId="20" totalsRowDxfId="21"/>
    <tableColumn id="5" xr3:uid="{00000000-0010-0000-0000-000005000000}" name="Asset Name" dataDxfId="18" totalsRowDxfId="19"/>
    <tableColumn id="6" xr3:uid="{00000000-0010-0000-0000-000006000000}" name="Type (Stock, ETF, Bond, FX, etc.)" dataDxfId="16" totalsRowDxfId="17"/>
    <tableColumn id="7" xr3:uid="{00000000-0010-0000-0000-000007000000}" name="Quantity (positive number)" dataDxfId="14" totalsRowDxfId="15"/>
    <tableColumn id="8" xr3:uid="{00000000-0010-0000-0000-000008000000}" name="Price per Unit" dataDxfId="12" totalsRowDxfId="13"/>
    <tableColumn id="9" xr3:uid="{00000000-0010-0000-0000-000009000000}" name="Trade Currency" dataDxfId="10" totalsRowDxfId="11"/>
    <tableColumn id="10" xr3:uid="{00000000-0010-0000-0000-00000A000000}" name="Gross Trade Value (=Qty*Price)" totalsRowFunction="custom" dataDxfId="8" totalsRowDxfId="9">
      <calculatedColumnFormula>TradingLogTable[[#This Row],[Quantity (positive number)]]*TradingLogTable[[#This Row],[Price per Unit]]</calculatedColumnFormula>
      <totalsRowFormula>_xlfn.FORMULATEXT(I2)</totalsRowFormula>
    </tableColumn>
    <tableColumn id="11" xr3:uid="{00000000-0010-0000-0000-00000B000000}" name="Fees / Commission" dataDxfId="6" totalsRowDxfId="7"/>
    <tableColumn id="12" xr3:uid="{00000000-0010-0000-0000-00000C000000}" name="Net Trade Value" dataDxfId="4" totalsRowDxfId="5">
      <calculatedColumnFormula>I2+J2</calculatedColumnFormula>
    </tableColumn>
    <tableColumn id="13" xr3:uid="{00000000-0010-0000-0000-00000D000000}" name="Position After Trade (units)" dataDxfId="2" totalsRowDxfId="3"/>
    <tableColumn id="14" xr3:uid="{00000000-0010-0000-0000-00000E000000}" name="Brief Reason (or reason for no change)" dataDxfId="0" totalsRowDxfId="1"/>
  </tableColumns>
  <tableStyleInfo name="TableStyleMedium6" showFirstColumn="0" showLastColumn="0" showRowStripes="0"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2"/>
  <sheetViews>
    <sheetView zoomScale="125" workbookViewId="0">
      <selection activeCell="E2" sqref="E2"/>
    </sheetView>
  </sheetViews>
  <sheetFormatPr defaultColWidth="8.85546875" defaultRowHeight="14.45"/>
  <cols>
    <col min="1" max="1" width="110.7109375" customWidth="1"/>
  </cols>
  <sheetData>
    <row r="1" spans="1:1" ht="15.6">
      <c r="A1" s="1" t="s">
        <v>0</v>
      </c>
    </row>
    <row r="2" spans="1:1" ht="259.14999999999998">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912C-8864-499F-B461-37637739AD6E}">
  <sheetPr codeName="Sheet2"/>
  <dimension ref="A1:K20"/>
  <sheetViews>
    <sheetView showGridLines="0" tabSelected="1" zoomScale="61" workbookViewId="0">
      <selection activeCell="L13" sqref="L13"/>
    </sheetView>
  </sheetViews>
  <sheetFormatPr defaultColWidth="8.85546875" defaultRowHeight="25.15"/>
  <cols>
    <col min="1" max="2" width="8.85546875" style="32"/>
    <col min="3" max="3" width="12.7109375" style="32" bestFit="1" customWidth="1"/>
    <col min="4" max="4" width="15.85546875" style="32" customWidth="1"/>
    <col min="5" max="6" width="17.140625" style="32" customWidth="1"/>
    <col min="7" max="7" width="8.85546875" style="32"/>
    <col min="8" max="8" width="35.85546875" style="32" bestFit="1" customWidth="1"/>
    <col min="9" max="9" width="8.85546875" style="32"/>
    <col min="10" max="10" width="3.7109375" style="32" customWidth="1"/>
    <col min="11" max="11" width="14.5703125" style="32" customWidth="1"/>
    <col min="12" max="16384" width="8.85546875" style="32"/>
  </cols>
  <sheetData>
    <row r="1" spans="1:11">
      <c r="A1" s="41" t="e" vm="1">
        <v>#VALUE!</v>
      </c>
      <c r="B1" s="41"/>
      <c r="C1" s="41"/>
    </row>
    <row r="2" spans="1:11">
      <c r="A2" s="41"/>
      <c r="B2" s="41"/>
      <c r="C2" s="41"/>
    </row>
    <row r="3" spans="1:11">
      <c r="A3" s="41"/>
      <c r="B3" s="41"/>
      <c r="C3" s="41"/>
    </row>
    <row r="5" spans="1:11">
      <c r="B5" s="42" t="s">
        <v>2</v>
      </c>
      <c r="C5" s="42"/>
      <c r="D5" s="42"/>
      <c r="E5" s="42"/>
      <c r="F5" s="42"/>
      <c r="G5" s="42"/>
      <c r="H5" s="42"/>
      <c r="I5" s="42"/>
      <c r="K5" s="43">
        <v>1</v>
      </c>
    </row>
    <row r="6" spans="1:11" ht="45">
      <c r="B6" s="42"/>
      <c r="C6" s="42"/>
      <c r="D6" s="42"/>
      <c r="E6" s="42"/>
      <c r="F6" s="42"/>
      <c r="G6" s="42"/>
      <c r="H6" s="42"/>
      <c r="I6" s="42"/>
      <c r="J6" s="38" t="s">
        <v>3</v>
      </c>
      <c r="K6" s="43"/>
    </row>
    <row r="7" spans="1:11">
      <c r="B7" s="42"/>
      <c r="C7" s="42"/>
      <c r="D7" s="42"/>
      <c r="E7" s="42"/>
      <c r="F7" s="42"/>
      <c r="G7" s="42"/>
      <c r="H7" s="42"/>
      <c r="I7" s="42"/>
      <c r="K7" s="43"/>
    </row>
    <row r="8" spans="1:11" ht="8.4499999999999993" customHeight="1">
      <c r="B8" s="42"/>
      <c r="C8" s="42"/>
      <c r="D8" s="42"/>
      <c r="E8" s="42"/>
      <c r="F8" s="42"/>
      <c r="G8" s="42"/>
      <c r="H8" s="42"/>
      <c r="I8" s="42"/>
      <c r="K8" s="43"/>
    </row>
    <row r="11" spans="1:11">
      <c r="C11" s="34"/>
      <c r="D11" s="34"/>
      <c r="G11" s="34" t="s">
        <v>4</v>
      </c>
    </row>
    <row r="12" spans="1:11" ht="33">
      <c r="B12" s="36" t="s">
        <v>5</v>
      </c>
      <c r="C12" s="35"/>
      <c r="D12" s="35"/>
      <c r="H12" s="32" t="s">
        <v>6</v>
      </c>
    </row>
    <row r="13" spans="1:11" ht="33">
      <c r="B13" s="37" t="s">
        <v>7</v>
      </c>
      <c r="C13" s="35"/>
      <c r="D13" s="35"/>
      <c r="H13" s="32" t="s">
        <v>8</v>
      </c>
    </row>
    <row r="14" spans="1:11">
      <c r="H14" s="32" t="s">
        <v>9</v>
      </c>
    </row>
    <row r="15" spans="1:11">
      <c r="B15" s="44" t="s">
        <v>10</v>
      </c>
      <c r="C15" s="45">
        <v>46070</v>
      </c>
      <c r="D15" s="45"/>
      <c r="H15" s="32" t="s">
        <v>11</v>
      </c>
    </row>
    <row r="16" spans="1:11">
      <c r="B16" s="44"/>
      <c r="C16" s="45"/>
      <c r="D16" s="45"/>
      <c r="H16" s="32" t="s">
        <v>12</v>
      </c>
    </row>
    <row r="17" spans="2:8">
      <c r="H17" s="32" t="s">
        <v>13</v>
      </c>
    </row>
    <row r="18" spans="2:8">
      <c r="H18" s="32" t="s">
        <v>14</v>
      </c>
    </row>
    <row r="19" spans="2:8">
      <c r="H19" s="32" t="s">
        <v>15</v>
      </c>
    </row>
    <row r="20" spans="2:8">
      <c r="B20" s="33"/>
    </row>
  </sheetData>
  <mergeCells count="5">
    <mergeCell ref="A1:C3"/>
    <mergeCell ref="B5:I8"/>
    <mergeCell ref="K5:K8"/>
    <mergeCell ref="B15:B16"/>
    <mergeCell ref="C15: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AB42"/>
  <sheetViews>
    <sheetView zoomScale="37" zoomScaleNormal="33" workbookViewId="0">
      <pane ySplit="1" topLeftCell="A2" activePane="bottomLeft" state="frozen"/>
      <selection pane="bottomLeft" activeCell="Q7" sqref="Q7"/>
    </sheetView>
  </sheetViews>
  <sheetFormatPr defaultColWidth="20.140625" defaultRowHeight="22.15"/>
  <cols>
    <col min="1" max="1" width="20.140625" style="3"/>
    <col min="2" max="2" width="27.85546875" style="3" customWidth="1"/>
    <col min="3" max="3" width="20.140625" style="3"/>
    <col min="4" max="4" width="39.85546875" style="4" bestFit="1" customWidth="1"/>
    <col min="5" max="6" width="20.140625" style="3"/>
    <col min="7" max="7" width="20.140625" style="5"/>
    <col min="8" max="9" width="20.140625" style="3"/>
    <col min="10" max="10" width="24.28515625" style="3" customWidth="1"/>
    <col min="11" max="11" width="20.140625" style="5"/>
    <col min="12" max="12" width="20.140625" style="3"/>
    <col min="13" max="14" width="39.7109375" style="6" customWidth="1"/>
    <col min="15" max="15" width="20.140625" style="3"/>
    <col min="16" max="16" width="35.28515625" style="3" bestFit="1" customWidth="1"/>
    <col min="17" max="17" width="20.140625" style="3"/>
    <col min="18" max="18" width="62.28515625" style="3" bestFit="1" customWidth="1"/>
    <col min="19" max="16384" width="20.140625" style="3"/>
  </cols>
  <sheetData>
    <row r="1" spans="1:28" s="6" customFormat="1" ht="132">
      <c r="A1" s="14" t="s">
        <v>16</v>
      </c>
      <c r="B1" s="14" t="s">
        <v>17</v>
      </c>
      <c r="C1" s="14" t="s">
        <v>18</v>
      </c>
      <c r="D1" s="14" t="s">
        <v>19</v>
      </c>
      <c r="E1" s="14" t="s">
        <v>20</v>
      </c>
      <c r="F1" s="14" t="s">
        <v>21</v>
      </c>
      <c r="G1" s="15" t="s">
        <v>22</v>
      </c>
      <c r="H1" s="14" t="s">
        <v>23</v>
      </c>
      <c r="I1" s="14" t="s">
        <v>24</v>
      </c>
      <c r="J1" s="14" t="s">
        <v>25</v>
      </c>
      <c r="K1" s="15" t="s">
        <v>26</v>
      </c>
      <c r="L1" s="14" t="s">
        <v>27</v>
      </c>
      <c r="M1" s="14" t="s">
        <v>28</v>
      </c>
      <c r="N1" s="26"/>
      <c r="P1" s="39" t="s">
        <v>29</v>
      </c>
      <c r="R1" s="31" t="s">
        <v>30</v>
      </c>
      <c r="S1" s="31" t="s">
        <v>31</v>
      </c>
      <c r="T1" s="31" t="s">
        <v>32</v>
      </c>
      <c r="U1" s="31" t="s">
        <v>33</v>
      </c>
      <c r="V1" s="31" t="s">
        <v>34</v>
      </c>
      <c r="W1" s="31" t="s">
        <v>35</v>
      </c>
      <c r="X1" s="31" t="s">
        <v>36</v>
      </c>
      <c r="Y1" s="31" t="s">
        <v>37</v>
      </c>
      <c r="Z1" s="31" t="s">
        <v>38</v>
      </c>
      <c r="AA1" s="31" t="s">
        <v>39</v>
      </c>
      <c r="AB1" s="31" t="s">
        <v>40</v>
      </c>
    </row>
    <row r="2" spans="1:28" ht="44.45">
      <c r="A2" s="7">
        <v>46065</v>
      </c>
      <c r="B2" s="8" t="s">
        <v>34</v>
      </c>
      <c r="C2" s="8" t="s">
        <v>41</v>
      </c>
      <c r="D2" s="8" t="s">
        <v>42</v>
      </c>
      <c r="E2" s="8" t="s">
        <v>43</v>
      </c>
      <c r="F2" s="8">
        <v>295</v>
      </c>
      <c r="G2" s="9">
        <v>684.89</v>
      </c>
      <c r="H2" s="10" t="s">
        <v>44</v>
      </c>
      <c r="I2" s="9">
        <f>TradingLogTable[[#This Row],[Quantity (positive number)]]*TradingLogTable[[#This Row],[Price per Unit]]</f>
        <v>202042.55</v>
      </c>
      <c r="J2" s="10">
        <v>10</v>
      </c>
      <c r="K2" s="11">
        <f t="shared" ref="K2:K16" si="0">I2+J2</f>
        <v>202052.55</v>
      </c>
      <c r="L2" s="8">
        <v>295</v>
      </c>
      <c r="M2" s="12" t="s">
        <v>45</v>
      </c>
      <c r="N2" s="12"/>
      <c r="P2" s="40" t="str">
        <f>P1</f>
        <v>Experimental Feature 
LIVE DATA</v>
      </c>
      <c r="Q2" s="3" t="str" cm="1">
        <f t="array" aca="1" ref="Q2" ca="1">_FV(R2,"Ticker symbol",TRUE)</f>
        <v>SPY</v>
      </c>
      <c r="R2" s="3" t="e" vm="2">
        <v>#VALUE!</v>
      </c>
      <c r="S2" s="25" cm="1">
        <f t="array" aca="1" ref="S2" ca="1">_FV(R2,"52 week high",TRUE)</f>
        <v>697.84</v>
      </c>
      <c r="T2" s="25" cm="1">
        <f t="array" aca="1" ref="T2" ca="1">_FV(R2,"52 week low",TRUE)</f>
        <v>481.8</v>
      </c>
      <c r="U2" s="27" cm="1">
        <f t="array" aca="1" ref="U2" ca="1">_FV(R2,"Last trade time",TRUE)</f>
        <v>46070.840447916409</v>
      </c>
      <c r="V2" s="25" cm="1">
        <f t="array" aca="1" ref="V2" ca="1">_FV(R2,"Open")</f>
        <v>680.14</v>
      </c>
      <c r="W2" s="25" cm="1">
        <f t="array" aca="1" ref="W2" ca="1">_FV(R2,"Previous close",TRUE)</f>
        <v>681.75</v>
      </c>
      <c r="X2" s="28" cm="1">
        <f t="array" aca="1" ref="X2" ca="1">_FV(R2,"Beta")</f>
        <v>0.99860000000000004</v>
      </c>
      <c r="Y2" s="25" cm="1">
        <f t="array" aca="1" ref="Y2" ca="1">_FV(R2,"Price")</f>
        <v>683.41499999999996</v>
      </c>
      <c r="Z2" s="25" cm="1">
        <f t="array" aca="1" ref="Z2" ca="1">_FV(R2,"Change")</f>
        <v>1.665</v>
      </c>
      <c r="AA2" s="29" cm="1">
        <f t="array" aca="1" ref="AA2" ca="1">_FV(R2,"Change (%)",TRUE)</f>
        <v>2.4420000000000002E-3</v>
      </c>
      <c r="AB2" s="30" cm="1">
        <f t="array" aca="1" ref="AB2" ca="1">_FV(R2,"Volume")</f>
        <v>62947750</v>
      </c>
    </row>
    <row r="3" spans="1:28" ht="44.45">
      <c r="A3" s="7">
        <v>46065</v>
      </c>
      <c r="B3" s="8" t="s">
        <v>34</v>
      </c>
      <c r="C3" s="8" t="s">
        <v>46</v>
      </c>
      <c r="D3" s="8" t="s">
        <v>47</v>
      </c>
      <c r="E3" s="8" t="s">
        <v>48</v>
      </c>
      <c r="F3" s="8">
        <v>100</v>
      </c>
      <c r="G3" s="9">
        <v>643.25</v>
      </c>
      <c r="H3" s="10" t="s">
        <v>44</v>
      </c>
      <c r="I3" s="9">
        <f>TradingLogTable[[#This Row],[Quantity (positive number)]]*TradingLogTable[[#This Row],[Price per Unit]]</f>
        <v>64325</v>
      </c>
      <c r="J3" s="10">
        <v>10</v>
      </c>
      <c r="K3" s="11">
        <f t="shared" si="0"/>
        <v>64335</v>
      </c>
      <c r="L3" s="8">
        <v>100</v>
      </c>
      <c r="M3" s="12" t="s">
        <v>49</v>
      </c>
      <c r="N3" s="12"/>
      <c r="P3" s="40" t="str">
        <f t="shared" ref="P3:P16" si="1">P2</f>
        <v>Experimental Feature 
LIVE DATA</v>
      </c>
      <c r="Q3" s="3" t="str" cm="1">
        <f t="array" aca="1" ref="Q3" ca="1">_FV(R3,"Ticker symbol",TRUE)</f>
        <v>LMT</v>
      </c>
      <c r="R3" s="3" t="e" vm="3">
        <v>#VALUE!</v>
      </c>
      <c r="S3" s="25" cm="1">
        <f t="array" aca="1" ref="S3" ca="1">_FV(R3,"52 week high",TRUE)</f>
        <v>656.34</v>
      </c>
      <c r="T3" s="25" cm="1">
        <f t="array" aca="1" ref="T3" ca="1">_FV(R3,"52 week low",TRUE)</f>
        <v>410.11</v>
      </c>
      <c r="U3" s="27" cm="1">
        <f t="array" aca="1" ref="U3" ca="1">_FV(R3,"Last trade time",TRUE)</f>
        <v>46070.840453865625</v>
      </c>
      <c r="V3" s="25" cm="1">
        <f t="array" aca="1" ref="V3" ca="1">_FV(R3,"Open")</f>
        <v>653.29</v>
      </c>
      <c r="W3" s="25" cm="1">
        <f t="array" aca="1" ref="W3" ca="1">_FV(R3,"Previous close",TRUE)</f>
        <v>652.58000000000004</v>
      </c>
      <c r="X3" s="28" cm="1">
        <f t="array" aca="1" ref="X3" ca="1">_FV(R3,"Beta")</f>
        <v>0.22559999999999999</v>
      </c>
      <c r="Y3" s="25" cm="1">
        <f t="array" aca="1" ref="Y3" ca="1">_FV(R3,"Price")</f>
        <v>650.62</v>
      </c>
      <c r="Z3" s="25" cm="1">
        <f t="array" aca="1" ref="Z3" ca="1">_FV(R3,"Change")</f>
        <v>-1.96</v>
      </c>
      <c r="AA3" s="29" cm="1">
        <f t="array" aca="1" ref="AA3" ca="1">_FV(R3,"Change (%)",TRUE)</f>
        <v>-3.003E-3</v>
      </c>
      <c r="AB3" s="30" cm="1">
        <f t="array" aca="1" ref="AB3" ca="1">_FV(R3,"Volume")</f>
        <v>853324</v>
      </c>
    </row>
    <row r="4" spans="1:28" ht="44.45">
      <c r="A4" s="7">
        <v>46065</v>
      </c>
      <c r="B4" s="8" t="s">
        <v>34</v>
      </c>
      <c r="C4" s="8" t="s">
        <v>50</v>
      </c>
      <c r="D4" s="8" t="s">
        <v>51</v>
      </c>
      <c r="E4" s="8" t="s">
        <v>43</v>
      </c>
      <c r="F4" s="8">
        <v>875</v>
      </c>
      <c r="G4" s="9">
        <v>89.52</v>
      </c>
      <c r="H4" s="10" t="s">
        <v>44</v>
      </c>
      <c r="I4" s="9">
        <f>TradingLogTable[[#This Row],[Quantity (positive number)]]*TradingLogTable[[#This Row],[Price per Unit]]</f>
        <v>78330</v>
      </c>
      <c r="J4" s="10">
        <v>10</v>
      </c>
      <c r="K4" s="11">
        <f t="shared" si="0"/>
        <v>78340</v>
      </c>
      <c r="L4" s="8">
        <v>875</v>
      </c>
      <c r="M4" s="12" t="s">
        <v>52</v>
      </c>
      <c r="N4" s="12"/>
      <c r="P4" s="40" t="str">
        <f t="shared" si="1"/>
        <v>Experimental Feature 
LIVE DATA</v>
      </c>
      <c r="Q4" s="3" t="str" cm="1">
        <f t="array" aca="1" ref="Q4" ca="1">_FV(R4,"Ticker symbol",TRUE)</f>
        <v>XLP</v>
      </c>
      <c r="R4" s="3" t="e" vm="4">
        <v>#VALUE!</v>
      </c>
      <c r="S4" s="25" cm="1">
        <f t="array" aca="1" ref="S4" ca="1">_FV(R4,"52 week high",TRUE)</f>
        <v>90.14</v>
      </c>
      <c r="T4" s="25" cm="1">
        <f t="array" aca="1" ref="T4" ca="1">_FV(R4,"52 week low",TRUE)</f>
        <v>75.16</v>
      </c>
      <c r="U4" s="27" cm="1">
        <f t="array" aca="1" ref="U4" ca="1">_FV(R4,"Last trade time",TRUE)</f>
        <v>46070.840437510939</v>
      </c>
      <c r="V4" s="25" cm="1">
        <f t="array" aca="1" ref="V4" ca="1">_FV(R4,"Open")</f>
        <v>89.75</v>
      </c>
      <c r="W4" s="25" cm="1">
        <f t="array" aca="1" ref="W4" ca="1">_FV(R4,"Previous close",TRUE)</f>
        <v>89.51</v>
      </c>
      <c r="X4" s="28" cm="1">
        <f t="array" aca="1" ref="X4" ca="1">_FV(R4,"Beta")</f>
        <v>0.96619999999999995</v>
      </c>
      <c r="Y4" s="25" cm="1">
        <f t="array" aca="1" ref="Y4" ca="1">_FV(R4,"Price")</f>
        <v>87.974999999999994</v>
      </c>
      <c r="Z4" s="25" cm="1">
        <f t="array" aca="1" ref="Z4" ca="1">_FV(R4,"Change")</f>
        <v>-1.5349999999999999</v>
      </c>
      <c r="AA4" s="29" cm="1">
        <f t="array" aca="1" ref="AA4" ca="1">_FV(R4,"Change (%)",TRUE)</f>
        <v>-1.7149000000000001E-2</v>
      </c>
      <c r="AB4" s="30" cm="1">
        <f t="array" aca="1" ref="AB4" ca="1">_FV(R4,"Volume")</f>
        <v>22010497</v>
      </c>
    </row>
    <row r="5" spans="1:28" ht="44.45">
      <c r="A5" s="7">
        <v>46065</v>
      </c>
      <c r="B5" s="8" t="s">
        <v>34</v>
      </c>
      <c r="C5" s="8" t="s">
        <v>53</v>
      </c>
      <c r="D5" s="8" t="s">
        <v>54</v>
      </c>
      <c r="E5" s="8" t="s">
        <v>48</v>
      </c>
      <c r="F5" s="8">
        <v>260</v>
      </c>
      <c r="G5" s="9">
        <v>244.64</v>
      </c>
      <c r="H5" s="10" t="s">
        <v>44</v>
      </c>
      <c r="I5" s="9">
        <f>TradingLogTable[[#This Row],[Quantity (positive number)]]*TradingLogTable[[#This Row],[Price per Unit]]</f>
        <v>63606.399999999994</v>
      </c>
      <c r="J5" s="10">
        <v>10</v>
      </c>
      <c r="K5" s="11">
        <f t="shared" si="0"/>
        <v>63616.399999999994</v>
      </c>
      <c r="L5" s="8">
        <v>260</v>
      </c>
      <c r="M5" s="12" t="s">
        <v>55</v>
      </c>
      <c r="N5" s="12"/>
      <c r="P5" s="40" t="str">
        <f t="shared" si="1"/>
        <v>Experimental Feature 
LIVE DATA</v>
      </c>
      <c r="Q5" s="3" t="str" cm="1">
        <f t="array" aca="1" ref="Q5" ca="1">_FV(R5,"Ticker symbol",TRUE)</f>
        <v>JNJ</v>
      </c>
      <c r="R5" s="3" t="e" vm="5">
        <v>#VALUE!</v>
      </c>
      <c r="S5" s="25" cm="1">
        <f t="array" aca="1" ref="S5" ca="1">_FV(R5,"52 week high",TRUE)</f>
        <v>246.34989999999999</v>
      </c>
      <c r="T5" s="25" cm="1">
        <f t="array" aca="1" ref="T5" ca="1">_FV(R5,"52 week low",TRUE)</f>
        <v>141.5</v>
      </c>
      <c r="U5" s="27" cm="1">
        <f t="array" aca="1" ref="U5" ca="1">_FV(R5,"Last trade time",TRUE)</f>
        <v>46070.840439189065</v>
      </c>
      <c r="V5" s="25" cm="1">
        <f t="array" aca="1" ref="V5" ca="1">_FV(R5,"Open")</f>
        <v>242.44</v>
      </c>
      <c r="W5" s="25" cm="1">
        <f t="array" aca="1" ref="W5" ca="1">_FV(R5,"Previous close",TRUE)</f>
        <v>243.45</v>
      </c>
      <c r="X5" s="28" cm="1">
        <f t="array" aca="1" ref="X5" ca="1">_FV(R5,"Beta")</f>
        <v>0.33129999999999998</v>
      </c>
      <c r="Y5" s="25" cm="1">
        <f t="array" aca="1" ref="Y5" ca="1">_FV(R5,"Price")</f>
        <v>243.642</v>
      </c>
      <c r="Z5" s="25" cm="1">
        <f t="array" aca="1" ref="Z5" ca="1">_FV(R5,"Change")</f>
        <v>0.192</v>
      </c>
      <c r="AA5" s="29" cm="1">
        <f t="array" aca="1" ref="AA5" ca="1">_FV(R5,"Change (%)",TRUE)</f>
        <v>7.8869999999999993E-4</v>
      </c>
      <c r="AB5" s="30" cm="1">
        <f t="array" aca="1" ref="AB5" ca="1">_FV(R5,"Volume")</f>
        <v>5125583</v>
      </c>
    </row>
    <row r="6" spans="1:28" ht="44.45">
      <c r="A6" s="7">
        <v>46065</v>
      </c>
      <c r="B6" s="8" t="s">
        <v>34</v>
      </c>
      <c r="C6" s="8" t="s">
        <v>56</v>
      </c>
      <c r="D6" s="8" t="s">
        <v>57</v>
      </c>
      <c r="E6" s="8" t="s">
        <v>48</v>
      </c>
      <c r="F6" s="8">
        <v>235</v>
      </c>
      <c r="G6" s="9">
        <v>162.44999999999999</v>
      </c>
      <c r="H6" s="10" t="s">
        <v>44</v>
      </c>
      <c r="I6" s="9">
        <f>TradingLogTable[[#This Row],[Quantity (positive number)]]*TradingLogTable[[#This Row],[Price per Unit]]</f>
        <v>38175.75</v>
      </c>
      <c r="J6" s="10">
        <v>10</v>
      </c>
      <c r="K6" s="11">
        <f t="shared" si="0"/>
        <v>38185.75</v>
      </c>
      <c r="L6" s="8">
        <v>235</v>
      </c>
      <c r="M6" s="12" t="s">
        <v>58</v>
      </c>
      <c r="N6" s="12"/>
      <c r="P6" s="40" t="str">
        <f t="shared" si="1"/>
        <v>Experimental Feature 
LIVE DATA</v>
      </c>
      <c r="Q6" s="3" t="str" cm="1">
        <f t="array" aca="1" ref="Q6" ca="1">_FV(R6,"Ticker symbol",TRUE)</f>
        <v>PG</v>
      </c>
      <c r="R6" s="3" t="e" vm="6">
        <v>#VALUE!</v>
      </c>
      <c r="S6" s="25" cm="1">
        <f t="array" aca="1" ref="S6" ca="1">_FV(R6,"52 week high",TRUE)</f>
        <v>179.99</v>
      </c>
      <c r="T6" s="25" cm="1">
        <f t="array" aca="1" ref="T6" ca="1">_FV(R6,"52 week low",TRUE)</f>
        <v>137.62</v>
      </c>
      <c r="U6" s="27" cm="1">
        <f t="array" aca="1" ref="U6" ca="1">_FV(R6,"Last trade time",TRUE)</f>
        <v>46070.840422441404</v>
      </c>
      <c r="V6" s="25" cm="1">
        <f t="array" aca="1" ref="V6" ca="1">_FV(R6,"Open")</f>
        <v>159.94999999999999</v>
      </c>
      <c r="W6" s="25" cm="1">
        <f t="array" aca="1" ref="W6" ca="1">_FV(R6,"Previous close",TRUE)</f>
        <v>160.07</v>
      </c>
      <c r="X6" s="28" cm="1">
        <f t="array" aca="1" ref="X6" ca="1">_FV(R6,"Beta")</f>
        <v>0.3674</v>
      </c>
      <c r="Y6" s="25" cm="1">
        <f t="array" aca="1" ref="Y6" ca="1">_FV(R6,"Price")</f>
        <v>159.59</v>
      </c>
      <c r="Z6" s="25" cm="1">
        <f t="array" aca="1" ref="Z6" ca="1">_FV(R6,"Change")</f>
        <v>-0.48</v>
      </c>
      <c r="AA6" s="29" cm="1">
        <f t="array" aca="1" ref="AA6" ca="1">_FV(R6,"Change (%)",TRUE)</f>
        <v>-2.9989999999999999E-3</v>
      </c>
      <c r="AB6" s="30" cm="1">
        <f t="array" aca="1" ref="AB6" ca="1">_FV(R6,"Volume")</f>
        <v>8275800</v>
      </c>
    </row>
    <row r="7" spans="1:28" ht="44.45">
      <c r="A7" s="7">
        <v>46065</v>
      </c>
      <c r="B7" s="8" t="s">
        <v>34</v>
      </c>
      <c r="C7" s="8" t="s">
        <v>59</v>
      </c>
      <c r="D7" s="8" t="s">
        <v>60</v>
      </c>
      <c r="E7" s="8" t="s">
        <v>48</v>
      </c>
      <c r="F7" s="8">
        <v>570</v>
      </c>
      <c r="G7" s="9">
        <v>132.94999999999999</v>
      </c>
      <c r="H7" s="10" t="s">
        <v>44</v>
      </c>
      <c r="I7" s="9">
        <f>TradingLogTable[[#This Row],[Quantity (positive number)]]*TradingLogTable[[#This Row],[Price per Unit]]</f>
        <v>75781.5</v>
      </c>
      <c r="J7" s="10">
        <v>10</v>
      </c>
      <c r="K7" s="11">
        <f t="shared" si="0"/>
        <v>75791.5</v>
      </c>
      <c r="L7" s="8">
        <v>570</v>
      </c>
      <c r="M7" s="12" t="s">
        <v>61</v>
      </c>
      <c r="N7" s="12"/>
      <c r="P7" s="40" t="str">
        <f t="shared" si="1"/>
        <v>Experimental Feature 
LIVE DATA</v>
      </c>
      <c r="Q7" s="3" t="str" cm="1">
        <f t="array" aca="1" ref="Q7" ca="1">_FV(R7,"Ticker symbol",TRUE)</f>
        <v>WMT</v>
      </c>
      <c r="R7" s="3" t="e" vm="7">
        <v>#VALUE!</v>
      </c>
      <c r="S7" s="25" cm="1">
        <f t="array" aca="1" ref="S7" ca="1">_FV(R7,"52 week high",TRUE)</f>
        <v>134.69</v>
      </c>
      <c r="T7" s="25" cm="1">
        <f t="array" aca="1" ref="T7" ca="1">_FV(R7,"52 week low",TRUE)</f>
        <v>79.81</v>
      </c>
      <c r="U7" s="27" cm="1">
        <f t="array" aca="1" ref="U7" ca="1">_FV(R7,"Last trade time",TRUE)</f>
        <v>46070.840446122653</v>
      </c>
      <c r="V7" s="25" cm="1">
        <f t="array" aca="1" ref="V7" ca="1">_FV(R7,"Open")</f>
        <v>133.21</v>
      </c>
      <c r="W7" s="25" cm="1">
        <f t="array" aca="1" ref="W7" ca="1">_FV(R7,"Previous close",TRUE)</f>
        <v>133.88999999999999</v>
      </c>
      <c r="X7" s="28" cm="1">
        <f t="array" aca="1" ref="X7" ca="1">_FV(R7,"Beta")</f>
        <v>0.64290000000000003</v>
      </c>
      <c r="Y7" s="25" cm="1">
        <f t="array" aca="1" ref="Y7" ca="1">_FV(R7,"Price")</f>
        <v>128.61500000000001</v>
      </c>
      <c r="Z7" s="25" cm="1">
        <f t="array" aca="1" ref="Z7" ca="1">_FV(R7,"Change")</f>
        <v>-5.2750000000000004</v>
      </c>
      <c r="AA7" s="29" cm="1">
        <f t="array" aca="1" ref="AA7" ca="1">_FV(R7,"Change (%)",TRUE)</f>
        <v>-3.9398000000000002E-2</v>
      </c>
      <c r="AB7" s="30" cm="1">
        <f t="array" aca="1" ref="AB7" ca="1">_FV(R7,"Volume")</f>
        <v>23291326</v>
      </c>
    </row>
    <row r="8" spans="1:28" ht="37.15" customHeight="1">
      <c r="A8" s="7">
        <v>46065</v>
      </c>
      <c r="B8" s="8" t="s">
        <v>34</v>
      </c>
      <c r="C8" s="8" t="s">
        <v>62</v>
      </c>
      <c r="D8" s="8" t="s">
        <v>63</v>
      </c>
      <c r="E8" s="8" t="s">
        <v>43</v>
      </c>
      <c r="F8" s="8">
        <v>800</v>
      </c>
      <c r="G8" s="9">
        <v>45.45</v>
      </c>
      <c r="H8" s="10" t="s">
        <v>44</v>
      </c>
      <c r="I8" s="9">
        <f>TradingLogTable[[#This Row],[Quantity (positive number)]]*TradingLogTable[[#This Row],[Price per Unit]]</f>
        <v>36360</v>
      </c>
      <c r="J8" s="10">
        <v>10</v>
      </c>
      <c r="K8" s="11">
        <f t="shared" si="0"/>
        <v>36370</v>
      </c>
      <c r="L8" s="8">
        <v>800</v>
      </c>
      <c r="M8" s="12" t="s">
        <v>64</v>
      </c>
      <c r="N8" s="12"/>
      <c r="P8" s="40" t="str">
        <f t="shared" si="1"/>
        <v>Experimental Feature 
LIVE DATA</v>
      </c>
      <c r="Q8" s="3" t="str" cm="1">
        <f t="array" aca="1" ref="Q8" ca="1">_FV(R8,"Ticker symbol",TRUE)</f>
        <v>XLU</v>
      </c>
      <c r="R8" s="3" t="e" vm="8">
        <v>#VALUE!</v>
      </c>
      <c r="S8" s="25" cm="1">
        <f t="array" aca="1" ref="S8" ca="1">_FV(R8,"52 week high",TRUE)</f>
        <v>47.075000000000003</v>
      </c>
      <c r="T8" s="25" cm="1">
        <f t="array" aca="1" ref="T8" ca="1">_FV(R8,"52 week low",TRUE)</f>
        <v>35.51</v>
      </c>
      <c r="U8" s="27" cm="1">
        <f t="array" aca="1" ref="U8" ca="1">_FV(R8,"Last trade time",TRUE)</f>
        <v>46070.840422939065</v>
      </c>
      <c r="V8" s="25" cm="1">
        <f t="array" aca="1" ref="V8" ca="1">_FV(R8,"Open")</f>
        <v>46.63</v>
      </c>
      <c r="W8" s="25" cm="1">
        <f t="array" aca="1" ref="W8" ca="1">_FV(R8,"Previous close",TRUE)</f>
        <v>46.5</v>
      </c>
      <c r="X8" s="28" cm="1">
        <f t="array" aca="1" ref="X8" ca="1">_FV(R8,"Beta")</f>
        <v>0.99719999999999998</v>
      </c>
      <c r="Y8" s="25" cm="1">
        <f t="array" aca="1" ref="Y8" ca="1">_FV(R8,"Price")</f>
        <v>46.265000000000001</v>
      </c>
      <c r="Z8" s="25" cm="1">
        <f t="array" aca="1" ref="Z8" ca="1">_FV(R8,"Change")</f>
        <v>-0.23499999999999999</v>
      </c>
      <c r="AA8" s="29" cm="1">
        <f t="array" aca="1" ref="AA8" ca="1">_FV(R8,"Change (%)",TRUE)</f>
        <v>-5.0539999999999995E-3</v>
      </c>
      <c r="AB8" s="30" cm="1">
        <f t="array" aca="1" ref="AB8" ca="1">_FV(R8,"Volume")</f>
        <v>25892835</v>
      </c>
    </row>
    <row r="9" spans="1:28" ht="44.45">
      <c r="A9" s="7">
        <v>46070</v>
      </c>
      <c r="B9" s="8" t="s">
        <v>34</v>
      </c>
      <c r="C9" s="8" t="s">
        <v>65</v>
      </c>
      <c r="D9" s="8" t="s">
        <v>66</v>
      </c>
      <c r="E9" s="8" t="s">
        <v>48</v>
      </c>
      <c r="F9" s="8">
        <v>230</v>
      </c>
      <c r="G9" s="9">
        <v>363.94</v>
      </c>
      <c r="H9" s="10" t="s">
        <v>44</v>
      </c>
      <c r="I9" s="9">
        <f>TradingLogTable[[#This Row],[Quantity (positive number)]]*TradingLogTable[[#This Row],[Price per Unit]]</f>
        <v>83706.2</v>
      </c>
      <c r="J9" s="10">
        <v>10</v>
      </c>
      <c r="K9" s="11">
        <f t="shared" si="0"/>
        <v>83716.2</v>
      </c>
      <c r="L9" s="8">
        <v>230</v>
      </c>
      <c r="M9" s="12" t="s">
        <v>67</v>
      </c>
      <c r="N9" s="12"/>
      <c r="P9" s="40" t="str">
        <f t="shared" si="1"/>
        <v>Experimental Feature 
LIVE DATA</v>
      </c>
      <c r="Q9" s="3" t="str" cm="1">
        <f t="array" aca="1" ref="Q9" ca="1">_FV(R9,"Ticker symbol",TRUE)</f>
        <v>TSM</v>
      </c>
      <c r="R9" s="3" t="e" vm="9">
        <v>#VALUE!</v>
      </c>
      <c r="S9" s="25" cm="1">
        <f t="array" aca="1" ref="S9" ca="1">_FV(R9,"52 week high",TRUE)</f>
        <v>380</v>
      </c>
      <c r="T9" s="25" cm="1">
        <f t="array" aca="1" ref="T9" ca="1">_FV(R9,"52 week low",TRUE)</f>
        <v>134.25</v>
      </c>
      <c r="U9" s="27" cm="1">
        <f t="array" aca="1" ref="U9" ca="1">_FV(R9,"Last trade time",TRUE)</f>
        <v>46070.840466608592</v>
      </c>
      <c r="V9" s="25" cm="1">
        <f t="array" aca="1" ref="V9" ca="1">_FV(R9,"Open")</f>
        <v>361.43</v>
      </c>
      <c r="W9" s="25" cm="1">
        <f t="array" aca="1" ref="W9" ca="1">_FV(R9,"Previous close",TRUE)</f>
        <v>366.36</v>
      </c>
      <c r="X9" s="28" cm="1">
        <f t="array" aca="1" ref="X9" ca="1">_FV(R9,"Beta")</f>
        <v>1.4396</v>
      </c>
      <c r="Y9" s="25" cm="1">
        <f t="array" aca="1" ref="Y9" ca="1">_FV(R9,"Price")</f>
        <v>364.625</v>
      </c>
      <c r="Z9" s="25" cm="1">
        <f t="array" aca="1" ref="Z9" ca="1">_FV(R9,"Change")</f>
        <v>-1.7350000000000001</v>
      </c>
      <c r="AA9" s="29" cm="1">
        <f t="array" aca="1" ref="AA9" ca="1">_FV(R9,"Change (%)",TRUE)</f>
        <v>-4.7360000000000006E-3</v>
      </c>
      <c r="AB9" s="30" cm="1">
        <f t="array" aca="1" ref="AB9" ca="1">_FV(R9,"Volume")</f>
        <v>8341671</v>
      </c>
    </row>
    <row r="10" spans="1:28" ht="44.45">
      <c r="A10" s="7">
        <v>46070</v>
      </c>
      <c r="B10" s="8" t="s">
        <v>34</v>
      </c>
      <c r="C10" s="8" t="s">
        <v>68</v>
      </c>
      <c r="D10" s="8" t="s">
        <v>69</v>
      </c>
      <c r="E10" s="8" t="s">
        <v>48</v>
      </c>
      <c r="F10" s="8">
        <v>110</v>
      </c>
      <c r="G10" s="9">
        <v>408.82</v>
      </c>
      <c r="H10" s="10" t="s">
        <v>44</v>
      </c>
      <c r="I10" s="9">
        <f>TradingLogTable[[#This Row],[Quantity (positive number)]]*TradingLogTable[[#This Row],[Price per Unit]]</f>
        <v>44970.2</v>
      </c>
      <c r="J10" s="10">
        <v>10</v>
      </c>
      <c r="K10" s="11">
        <f t="shared" si="0"/>
        <v>44980.2</v>
      </c>
      <c r="L10" s="8">
        <v>110</v>
      </c>
      <c r="M10" s="12" t="s">
        <v>70</v>
      </c>
      <c r="N10" s="12"/>
      <c r="P10" s="40" t="str">
        <f t="shared" si="1"/>
        <v>Experimental Feature 
LIVE DATA</v>
      </c>
      <c r="Q10" s="3" t="str" cm="1">
        <f t="array" aca="1" ref="Q10" ca="1">_FV(R10,"Ticker symbol",TRUE)</f>
        <v>MU</v>
      </c>
      <c r="R10" s="3" t="e" vm="10">
        <v>#VALUE!</v>
      </c>
      <c r="S10" s="25" cm="1">
        <f t="array" aca="1" ref="S10" ca="1">_FV(R10,"52 week high",TRUE)</f>
        <v>455.5</v>
      </c>
      <c r="T10" s="25" cm="1">
        <f t="array" aca="1" ref="T10" ca="1">_FV(R10,"52 week low",TRUE)</f>
        <v>61.54</v>
      </c>
      <c r="U10" s="27" cm="1">
        <f t="array" aca="1" ref="U10" ca="1">_FV(R10,"Last trade time",TRUE)</f>
        <v>46070.84046427031</v>
      </c>
      <c r="V10" s="25" cm="1">
        <f t="array" aca="1" ref="V10" ca="1">_FV(R10,"Open")</f>
        <v>400.61</v>
      </c>
      <c r="W10" s="25" cm="1">
        <f t="array" aca="1" ref="W10" ca="1">_FV(R10,"Previous close",TRUE)</f>
        <v>411.66</v>
      </c>
      <c r="X10" s="28" cm="1">
        <f t="array" aca="1" ref="X10" ca="1">_FV(R10,"Beta")</f>
        <v>1.5065</v>
      </c>
      <c r="Y10" s="25" cm="1">
        <f t="array" aca="1" ref="Y10" ca="1">_FV(R10,"Price")</f>
        <v>401.58</v>
      </c>
      <c r="Z10" s="25" cm="1">
        <f t="array" aca="1" ref="Z10" ca="1">_FV(R10,"Change")</f>
        <v>-10.08</v>
      </c>
      <c r="AA10" s="29" cm="1">
        <f t="array" aca="1" ref="AA10" ca="1">_FV(R10,"Change (%)",TRUE)</f>
        <v>-2.4485999999999997E-2</v>
      </c>
      <c r="AB10" s="30" cm="1">
        <f t="array" aca="1" ref="AB10" ca="1">_FV(R10,"Volume")</f>
        <v>21735002</v>
      </c>
    </row>
    <row r="11" spans="1:28" ht="44.45">
      <c r="A11" s="7">
        <v>46070</v>
      </c>
      <c r="B11" s="8" t="s">
        <v>34</v>
      </c>
      <c r="C11" s="8" t="s">
        <v>71</v>
      </c>
      <c r="D11" s="8" t="s">
        <v>72</v>
      </c>
      <c r="E11" s="8" t="s">
        <v>48</v>
      </c>
      <c r="F11" s="8">
        <v>388</v>
      </c>
      <c r="G11" s="9">
        <v>131.47999999999999</v>
      </c>
      <c r="H11" s="10" t="s">
        <v>44</v>
      </c>
      <c r="I11" s="9">
        <f>TradingLogTable[[#This Row],[Quantity (positive number)]]*TradingLogTable[[#This Row],[Price per Unit]]</f>
        <v>51014.239999999998</v>
      </c>
      <c r="J11" s="10">
        <v>10</v>
      </c>
      <c r="K11" s="11">
        <f t="shared" si="0"/>
        <v>51024.24</v>
      </c>
      <c r="L11" s="8">
        <v>388</v>
      </c>
      <c r="M11" s="12" t="s">
        <v>73</v>
      </c>
      <c r="N11" s="12"/>
      <c r="P11" s="40" t="str">
        <f t="shared" si="1"/>
        <v>Experimental Feature 
LIVE DATA</v>
      </c>
      <c r="Q11" s="3" t="str" cm="1">
        <f t="array" aca="1" ref="Q11" ca="1">_FV(R11,"Ticker symbol",TRUE)</f>
        <v>PLTR</v>
      </c>
      <c r="R11" s="3" t="e" vm="11">
        <v>#VALUE!</v>
      </c>
      <c r="S11" s="25" cm="1">
        <f t="array" aca="1" ref="S11" ca="1">_FV(R11,"52 week high",TRUE)</f>
        <v>207.52</v>
      </c>
      <c r="T11" s="25" cm="1">
        <f t="array" aca="1" ref="T11" ca="1">_FV(R11,"52 week low",TRUE)</f>
        <v>66.12</v>
      </c>
      <c r="U11" s="27" cm="1">
        <f t="array" aca="1" ref="U11" ca="1">_FV(R11,"Last trade time",TRUE)</f>
        <v>46070.840438390624</v>
      </c>
      <c r="V11" s="25" cm="1">
        <f t="array" aca="1" ref="V11" ca="1">_FV(R11,"Open")</f>
        <v>128.78</v>
      </c>
      <c r="W11" s="25" cm="1">
        <f t="array" aca="1" ref="W11" ca="1">_FV(R11,"Previous close",TRUE)</f>
        <v>131.41</v>
      </c>
      <c r="X11" s="28" cm="1">
        <f t="array" aca="1" ref="X11" ca="1">_FV(R11,"Beta")</f>
        <v>1.7126999999999999</v>
      </c>
      <c r="Y11" s="25" cm="1">
        <f t="array" aca="1" ref="Y11" ca="1">_FV(R11,"Price")</f>
        <v>133.22300000000001</v>
      </c>
      <c r="Z11" s="25" cm="1">
        <f t="array" aca="1" ref="Z11" ca="1">_FV(R11,"Change")</f>
        <v>1.8129999999999999</v>
      </c>
      <c r="AA11" s="29" cm="1">
        <f t="array" aca="1" ref="AA11" ca="1">_FV(R11,"Change (%)",TRUE)</f>
        <v>1.3796999999999999E-2</v>
      </c>
      <c r="AB11" s="30" cm="1">
        <f t="array" aca="1" ref="AB11" ca="1">_FV(R11,"Volume")</f>
        <v>38620078</v>
      </c>
    </row>
    <row r="12" spans="1:28" ht="44.45">
      <c r="A12" s="7">
        <v>46070</v>
      </c>
      <c r="B12" s="8" t="s">
        <v>34</v>
      </c>
      <c r="C12" s="8" t="s">
        <v>74</v>
      </c>
      <c r="D12" s="8" t="s">
        <v>75</v>
      </c>
      <c r="E12" s="8" t="s">
        <v>48</v>
      </c>
      <c r="F12" s="8">
        <v>150</v>
      </c>
      <c r="G12" s="9">
        <v>306.82</v>
      </c>
      <c r="H12" s="10" t="s">
        <v>44</v>
      </c>
      <c r="I12" s="9">
        <f>TradingLogTable[[#This Row],[Quantity (positive number)]]*TradingLogTable[[#This Row],[Price per Unit]]</f>
        <v>46023</v>
      </c>
      <c r="J12" s="10">
        <v>10</v>
      </c>
      <c r="K12" s="11">
        <f t="shared" si="0"/>
        <v>46033</v>
      </c>
      <c r="L12" s="8">
        <v>150</v>
      </c>
      <c r="M12" s="12" t="s">
        <v>76</v>
      </c>
      <c r="N12" s="12"/>
      <c r="P12" s="40" t="str">
        <f t="shared" si="1"/>
        <v>Experimental Feature 
LIVE DATA</v>
      </c>
      <c r="Q12" s="3" t="str" cm="1">
        <f t="array" aca="1" ref="Q12" ca="1">_FV(R12,"Ticker symbol",TRUE)</f>
        <v>JPM</v>
      </c>
      <c r="R12" s="3" t="e" vm="12">
        <v>#VALUE!</v>
      </c>
      <c r="S12" s="25" cm="1">
        <f t="array" aca="1" ref="S12" ca="1">_FV(R12,"52 week high",TRUE)</f>
        <v>337.25</v>
      </c>
      <c r="T12" s="25" cm="1">
        <f t="array" aca="1" ref="T12" ca="1">_FV(R12,"52 week low",TRUE)</f>
        <v>202.16</v>
      </c>
      <c r="U12" s="27" cm="1">
        <f t="array" aca="1" ref="U12" ca="1">_FV(R12,"Last trade time",TRUE)</f>
        <v>46070.84044021953</v>
      </c>
      <c r="V12" s="25" cm="1">
        <f t="array" aca="1" ref="V12" ca="1">_FV(R12,"Open")</f>
        <v>303.69</v>
      </c>
      <c r="W12" s="25" cm="1">
        <f t="array" aca="1" ref="W12" ca="1">_FV(R12,"Previous close",TRUE)</f>
        <v>302.55</v>
      </c>
      <c r="X12" s="28" cm="1">
        <f t="array" aca="1" ref="X12" ca="1">_FV(R12,"Beta")</f>
        <v>1.0526</v>
      </c>
      <c r="Y12" s="25" cm="1">
        <f t="array" aca="1" ref="Y12" ca="1">_FV(R12,"Price")</f>
        <v>307.26499999999999</v>
      </c>
      <c r="Z12" s="25" cm="1">
        <f t="array" aca="1" ref="Z12" ca="1">_FV(R12,"Change")</f>
        <v>4.7149999999999999</v>
      </c>
      <c r="AA12" s="29" cm="1">
        <f t="array" aca="1" ref="AA12" ca="1">_FV(R12,"Change (%)",TRUE)</f>
        <v>1.5584000000000001E-2</v>
      </c>
      <c r="AB12" s="30" cm="1">
        <f t="array" aca="1" ref="AB12" ca="1">_FV(R12,"Volume")</f>
        <v>4749681</v>
      </c>
    </row>
    <row r="13" spans="1:28" ht="44.45">
      <c r="A13" s="7">
        <v>46070</v>
      </c>
      <c r="B13" s="8" t="s">
        <v>34</v>
      </c>
      <c r="C13" s="8" t="s">
        <v>77</v>
      </c>
      <c r="D13" s="8" t="s">
        <v>78</v>
      </c>
      <c r="E13" s="8" t="s">
        <v>48</v>
      </c>
      <c r="F13" s="8">
        <v>250</v>
      </c>
      <c r="G13" s="9">
        <v>200.87</v>
      </c>
      <c r="H13" s="10" t="s">
        <v>44</v>
      </c>
      <c r="I13" s="9">
        <f>TradingLogTable[[#This Row],[Quantity (positive number)]]*TradingLogTable[[#This Row],[Price per Unit]]</f>
        <v>50217.5</v>
      </c>
      <c r="J13" s="10">
        <v>10</v>
      </c>
      <c r="K13" s="11">
        <f t="shared" si="0"/>
        <v>50227.5</v>
      </c>
      <c r="L13" s="8">
        <v>250</v>
      </c>
      <c r="M13" s="12" t="s">
        <v>79</v>
      </c>
      <c r="N13" s="12"/>
      <c r="P13" s="40" t="str">
        <f t="shared" si="1"/>
        <v>Experimental Feature 
LIVE DATA</v>
      </c>
      <c r="Q13" s="3" t="str" cm="1">
        <f t="array" aca="1" ref="Q13" ca="1">_FV(R13,"Ticker symbol",TRUE)</f>
        <v>AMZN</v>
      </c>
      <c r="R13" s="3" t="e" vm="13">
        <v>#VALUE!</v>
      </c>
      <c r="S13" s="25" cm="1">
        <f t="array" aca="1" ref="S13" ca="1">_FV(R13,"52 week high",TRUE)</f>
        <v>258.60000000000002</v>
      </c>
      <c r="T13" s="25" cm="1">
        <f t="array" aca="1" ref="T13" ca="1">_FV(R13,"52 week low",TRUE)</f>
        <v>161.38</v>
      </c>
      <c r="U13" s="27" cm="1">
        <f t="array" aca="1" ref="U13" ca="1">_FV(R13,"Last trade time",TRUE)</f>
        <v>46070.840469131253</v>
      </c>
      <c r="V13" s="25" cm="1">
        <f t="array" aca="1" ref="V13" ca="1">_FV(R13,"Open")</f>
        <v>198.1</v>
      </c>
      <c r="W13" s="25" cm="1">
        <f t="array" aca="1" ref="W13" ca="1">_FV(R13,"Previous close",TRUE)</f>
        <v>198.79</v>
      </c>
      <c r="X13" s="28" cm="1">
        <f t="array" aca="1" ref="X13" ca="1">_FV(R13,"Beta")</f>
        <v>1.419</v>
      </c>
      <c r="Y13" s="25" cm="1">
        <f t="array" aca="1" ref="Y13" ca="1">_FV(R13,"Price")</f>
        <v>200.99</v>
      </c>
      <c r="Z13" s="25" cm="1">
        <f t="array" aca="1" ref="Z13" ca="1">_FV(R13,"Change")</f>
        <v>2.2000000000000002</v>
      </c>
      <c r="AA13" s="29" cm="1">
        <f t="array" aca="1" ref="AA13" ca="1">_FV(R13,"Change (%)",TRUE)</f>
        <v>1.1067E-2</v>
      </c>
      <c r="AB13" s="30" cm="1">
        <f t="array" aca="1" ref="AB13" ca="1">_FV(R13,"Volume")</f>
        <v>53369957</v>
      </c>
    </row>
    <row r="14" spans="1:28" ht="44.45">
      <c r="A14" s="7">
        <v>46070</v>
      </c>
      <c r="B14" s="8" t="s">
        <v>34</v>
      </c>
      <c r="C14" s="8" t="s">
        <v>80</v>
      </c>
      <c r="D14" s="8" t="s">
        <v>81</v>
      </c>
      <c r="E14" s="8" t="s">
        <v>48</v>
      </c>
      <c r="F14" s="8">
        <v>130</v>
      </c>
      <c r="G14" s="9">
        <v>302.22000000000003</v>
      </c>
      <c r="H14" s="10" t="s">
        <v>44</v>
      </c>
      <c r="I14" s="9">
        <f>TradingLogTable[[#This Row],[Quantity (positive number)]]*TradingLogTable[[#This Row],[Price per Unit]]</f>
        <v>39288.600000000006</v>
      </c>
      <c r="J14" s="10">
        <v>10</v>
      </c>
      <c r="K14" s="11">
        <f t="shared" si="0"/>
        <v>39298.600000000006</v>
      </c>
      <c r="L14" s="8">
        <v>130</v>
      </c>
      <c r="M14" s="12" t="s">
        <v>82</v>
      </c>
      <c r="N14" s="12"/>
      <c r="P14" s="40" t="str">
        <f t="shared" si="1"/>
        <v>Experimental Feature 
LIVE DATA</v>
      </c>
      <c r="Q14" s="3" t="str" cm="1">
        <f t="array" aca="1" ref="Q14" ca="1">_FV(R14,"Ticker symbol",TRUE)</f>
        <v>GOOGL</v>
      </c>
      <c r="R14" s="3" t="e" vm="14">
        <v>#VALUE!</v>
      </c>
      <c r="S14" s="25" cm="1">
        <f t="array" aca="1" ref="S14" ca="1">_FV(R14,"52 week high",TRUE)</f>
        <v>349</v>
      </c>
      <c r="T14" s="25" cm="1">
        <f t="array" aca="1" ref="T14" ca="1">_FV(R14,"52 week low",TRUE)</f>
        <v>140.53</v>
      </c>
      <c r="U14" s="27" cm="1">
        <f t="array" aca="1" ref="U14" ca="1">_FV(R14,"Last trade time",TRUE)</f>
        <v>46070.84044006875</v>
      </c>
      <c r="V14" s="25" cm="1">
        <f t="array" aca="1" ref="V14" ca="1">_FV(R14,"Open")</f>
        <v>300.3</v>
      </c>
      <c r="W14" s="25" cm="1">
        <f t="array" aca="1" ref="W14" ca="1">_FV(R14,"Previous close",TRUE)</f>
        <v>305.72000000000003</v>
      </c>
      <c r="X14" s="28" cm="1">
        <f t="array" aca="1" ref="X14" ca="1">_FV(R14,"Beta")</f>
        <v>1.1077999999999999</v>
      </c>
      <c r="Y14" s="25" cm="1">
        <f t="array" aca="1" ref="Y14" ca="1">_FV(R14,"Price")</f>
        <v>301.67</v>
      </c>
      <c r="Z14" s="25" cm="1">
        <f t="array" aca="1" ref="Z14" ca="1">_FV(R14,"Change")</f>
        <v>-4.05</v>
      </c>
      <c r="AA14" s="29" cm="1">
        <f t="array" aca="1" ref="AA14" ca="1">_FV(R14,"Change (%)",TRUE)</f>
        <v>-1.3247E-2</v>
      </c>
      <c r="AB14" s="30" cm="1">
        <f t="array" aca="1" ref="AB14" ca="1">_FV(R14,"Volume")</f>
        <v>29573103</v>
      </c>
    </row>
    <row r="15" spans="1:28" ht="44.45">
      <c r="A15" s="7">
        <v>46070</v>
      </c>
      <c r="B15" s="8" t="s">
        <v>34</v>
      </c>
      <c r="C15" s="8" t="s">
        <v>83</v>
      </c>
      <c r="D15" s="8" t="s">
        <v>84</v>
      </c>
      <c r="E15" s="8" t="s">
        <v>48</v>
      </c>
      <c r="F15" s="8">
        <v>140</v>
      </c>
      <c r="G15" s="9">
        <v>329.44</v>
      </c>
      <c r="H15" s="10" t="s">
        <v>44</v>
      </c>
      <c r="I15" s="9">
        <f>TradingLogTable[[#This Row],[Quantity (positive number)]]*TradingLogTable[[#This Row],[Price per Unit]]</f>
        <v>46121.599999999999</v>
      </c>
      <c r="J15" s="10">
        <v>10</v>
      </c>
      <c r="K15" s="11">
        <f t="shared" si="0"/>
        <v>46131.6</v>
      </c>
      <c r="L15" s="8">
        <v>140</v>
      </c>
      <c r="M15" s="12" t="s">
        <v>85</v>
      </c>
      <c r="N15" s="12"/>
      <c r="P15" s="40" t="str">
        <f t="shared" si="1"/>
        <v>Experimental Feature 
LIVE DATA</v>
      </c>
      <c r="Q15" s="3" t="str" cm="1">
        <f t="array" aca="1" ref="Q15" ca="1">_FV(R15,"Ticker symbol",TRUE)</f>
        <v>GE</v>
      </c>
      <c r="R15" s="3" t="e" vm="15">
        <v>#VALUE!</v>
      </c>
      <c r="S15" s="25" cm="1">
        <f t="array" aca="1" ref="S15" ca="1">_FV(R15,"52 week high",TRUE)</f>
        <v>332.79</v>
      </c>
      <c r="T15" s="25" cm="1">
        <f t="array" aca="1" ref="T15" ca="1">_FV(R15,"52 week low",TRUE)</f>
        <v>159.36000000000001</v>
      </c>
      <c r="U15" s="27" cm="1">
        <f t="array" aca="1" ref="U15" ca="1">_FV(R15,"Last trade time",TRUE)</f>
        <v>46070.840462707813</v>
      </c>
      <c r="V15" s="25" cm="1">
        <f t="array" aca="1" ref="V15" ca="1">_FV(R15,"Open")</f>
        <v>315.10000000000002</v>
      </c>
      <c r="W15" s="25" cm="1">
        <f t="array" aca="1" ref="W15" ca="1">_FV(R15,"Previous close",TRUE)</f>
        <v>315.41000000000003</v>
      </c>
      <c r="X15" s="28" cm="1">
        <f t="array" aca="1" ref="X15" ca="1">_FV(R15,"Beta")</f>
        <v>1.3885000000000001</v>
      </c>
      <c r="Y15" s="25" cm="1">
        <f t="array" aca="1" ref="Y15" ca="1">_FV(R15,"Price")</f>
        <v>327.02</v>
      </c>
      <c r="Z15" s="25" cm="1">
        <f t="array" aca="1" ref="Z15" ca="1">_FV(R15,"Change")</f>
        <v>11.61</v>
      </c>
      <c r="AA15" s="29" cm="1">
        <f t="array" aca="1" ref="AA15" ca="1">_FV(R15,"Change (%)",TRUE)</f>
        <v>3.6809000000000001E-2</v>
      </c>
      <c r="AB15" s="30" cm="1">
        <f t="array" aca="1" ref="AB15" ca="1">_FV(R15,"Volume")</f>
        <v>3717927</v>
      </c>
    </row>
    <row r="16" spans="1:28" ht="44.45">
      <c r="A16" s="7">
        <v>46070</v>
      </c>
      <c r="B16" s="8" t="s">
        <v>34</v>
      </c>
      <c r="C16" s="8" t="s">
        <v>86</v>
      </c>
      <c r="D16" s="8" t="s">
        <v>87</v>
      </c>
      <c r="E16" s="8" t="s">
        <v>48</v>
      </c>
      <c r="F16" s="8">
        <v>800</v>
      </c>
      <c r="G16" s="9">
        <v>33.6</v>
      </c>
      <c r="H16" s="10" t="s">
        <v>44</v>
      </c>
      <c r="I16" s="9">
        <f>TradingLogTable[[#This Row],[Quantity (positive number)]]*TradingLogTable[[#This Row],[Price per Unit]]</f>
        <v>26880</v>
      </c>
      <c r="J16" s="10">
        <v>10</v>
      </c>
      <c r="K16" s="11">
        <f t="shared" si="0"/>
        <v>26890</v>
      </c>
      <c r="L16" s="8">
        <v>800</v>
      </c>
      <c r="M16" s="12" t="s">
        <v>88</v>
      </c>
      <c r="N16" s="12"/>
      <c r="P16" s="40" t="str">
        <f t="shared" si="1"/>
        <v>Experimental Feature 
LIVE DATA</v>
      </c>
      <c r="Q16" s="3" t="str" cm="1">
        <f t="array" aca="1" ref="Q16" ca="1">_FV(R16,"Ticker symbol",TRUE)</f>
        <v>IONQ</v>
      </c>
      <c r="R16" s="3" t="e" vm="16">
        <v>#VALUE!</v>
      </c>
      <c r="S16" s="25" cm="1">
        <f t="array" aca="1" ref="S16" ca="1">_FV(R16,"52 week high",TRUE)</f>
        <v>84.64</v>
      </c>
      <c r="T16" s="25" cm="1">
        <f t="array" aca="1" ref="T16" ca="1">_FV(R16,"52 week low",TRUE)</f>
        <v>17.88</v>
      </c>
      <c r="U16" s="27" cm="1">
        <f t="array" aca="1" ref="U16" ca="1">_FV(R16,"Last trade time",TRUE)</f>
        <v>46070.840456203128</v>
      </c>
      <c r="V16" s="25" cm="1">
        <f t="array" aca="1" ref="V16" ca="1">_FV(R16,"Open")</f>
        <v>33.47</v>
      </c>
      <c r="W16" s="25" cm="1">
        <f t="array" aca="1" ref="W16" ca="1">_FV(R16,"Previous close",TRUE)</f>
        <v>34.11</v>
      </c>
      <c r="X16" s="28" cm="1">
        <f t="array" aca="1" ref="X16" ca="1">_FV(R16,"Beta")</f>
        <v>2.6347</v>
      </c>
      <c r="Y16" s="25" cm="1">
        <f t="array" aca="1" ref="Y16" ca="1">_FV(R16,"Price")</f>
        <v>33.76</v>
      </c>
      <c r="Z16" s="25" cm="1">
        <f t="array" aca="1" ref="Z16" ca="1">_FV(R16,"Change")</f>
        <v>-0.35</v>
      </c>
      <c r="AA16" s="29" cm="1">
        <f t="array" aca="1" ref="AA16" ca="1">_FV(R16,"Change (%)",TRUE)</f>
        <v>-1.0260999999999999E-2</v>
      </c>
      <c r="AB16" s="30" cm="1">
        <f t="array" aca="1" ref="AB16" ca="1">_FV(R16,"Volume")</f>
        <v>10734273</v>
      </c>
    </row>
    <row r="17" spans="1:14">
      <c r="A17" s="8"/>
      <c r="B17" s="8"/>
      <c r="C17" s="8"/>
      <c r="D17" s="8"/>
      <c r="E17" s="8"/>
      <c r="F17" s="8"/>
      <c r="G17" s="9"/>
      <c r="H17" s="10"/>
      <c r="I17" s="9">
        <f>TradingLogTable[[#This Row],[Quantity (positive number)]]*TradingLogTable[[#This Row],[Price per Unit]]</f>
        <v>0</v>
      </c>
      <c r="J17" s="10"/>
      <c r="K17" s="11">
        <f t="shared" ref="K17:K20" si="2">I17+J17</f>
        <v>0</v>
      </c>
      <c r="L17" s="8"/>
      <c r="M17" s="12"/>
      <c r="N17" s="12"/>
    </row>
    <row r="18" spans="1:14">
      <c r="A18" s="8"/>
      <c r="B18" s="8"/>
      <c r="C18" s="8"/>
      <c r="D18" s="8"/>
      <c r="E18" s="8"/>
      <c r="F18" s="8"/>
      <c r="G18" s="9"/>
      <c r="H18" s="10"/>
      <c r="I18" s="9">
        <f>TradingLogTable[[#This Row],[Quantity (positive number)]]*TradingLogTable[[#This Row],[Price per Unit]]</f>
        <v>0</v>
      </c>
      <c r="J18" s="10"/>
      <c r="K18" s="11">
        <f t="shared" si="2"/>
        <v>0</v>
      </c>
      <c r="L18" s="8"/>
      <c r="M18" s="12"/>
      <c r="N18" s="12"/>
    </row>
    <row r="19" spans="1:14">
      <c r="A19" s="8"/>
      <c r="B19" s="8"/>
      <c r="C19" s="8"/>
      <c r="D19" s="8"/>
      <c r="E19" s="8"/>
      <c r="F19" s="8"/>
      <c r="G19" s="9"/>
      <c r="H19" s="10"/>
      <c r="I19" s="9">
        <f>TradingLogTable[[#This Row],[Quantity (positive number)]]*TradingLogTable[[#This Row],[Price per Unit]]</f>
        <v>0</v>
      </c>
      <c r="J19" s="10"/>
      <c r="K19" s="11">
        <f t="shared" si="2"/>
        <v>0</v>
      </c>
      <c r="L19" s="8"/>
      <c r="M19" s="12"/>
      <c r="N19" s="12"/>
    </row>
    <row r="20" spans="1:14">
      <c r="A20" s="8"/>
      <c r="B20" s="8"/>
      <c r="C20" s="8"/>
      <c r="D20" s="8"/>
      <c r="E20" s="8"/>
      <c r="F20" s="8"/>
      <c r="G20" s="9"/>
      <c r="H20" s="10"/>
      <c r="I20" s="9">
        <f>TradingLogTable[[#This Row],[Quantity (positive number)]]*TradingLogTable[[#This Row],[Price per Unit]]</f>
        <v>0</v>
      </c>
      <c r="J20" s="10"/>
      <c r="K20" s="11">
        <f t="shared" si="2"/>
        <v>0</v>
      </c>
      <c r="L20" s="8"/>
      <c r="M20" s="12"/>
      <c r="N20" s="12"/>
    </row>
    <row r="21" spans="1:14">
      <c r="A21" s="4"/>
      <c r="B21" s="4"/>
      <c r="C21" s="4"/>
      <c r="E21" s="4"/>
      <c r="F21" s="4"/>
      <c r="I21" s="3" t="str">
        <f ca="1">_xlfn.FORMULATEXT(I2)</f>
        <v>=[@[Quantity (positive number)]]*[@[Price per Unit]]</v>
      </c>
      <c r="K21" s="13"/>
      <c r="L21" s="4"/>
    </row>
    <row r="24" spans="1:14">
      <c r="D24" s="3"/>
    </row>
    <row r="25" spans="1:14">
      <c r="D25" s="3"/>
    </row>
    <row r="26" spans="1:14">
      <c r="D26" s="3"/>
    </row>
    <row r="27" spans="1:14">
      <c r="D27" s="3"/>
    </row>
    <row r="28" spans="1:14">
      <c r="D28" s="3"/>
    </row>
    <row r="29" spans="1:14">
      <c r="D29" s="3"/>
    </row>
    <row r="30" spans="1:14">
      <c r="D30" s="3"/>
    </row>
    <row r="31" spans="1:14">
      <c r="D31" s="3"/>
    </row>
    <row r="32" spans="1:14">
      <c r="D32" s="3"/>
    </row>
    <row r="33" spans="4:4">
      <c r="D33" s="3"/>
    </row>
    <row r="34" spans="4:4">
      <c r="D34" s="3"/>
    </row>
    <row r="35" spans="4:4">
      <c r="D35" s="3"/>
    </row>
    <row r="36" spans="4:4">
      <c r="D36" s="3"/>
    </row>
    <row r="37" spans="4:4">
      <c r="D37" s="3"/>
    </row>
    <row r="38" spans="4:4">
      <c r="D38" s="3"/>
    </row>
    <row r="39" spans="4:4">
      <c r="D39" s="3"/>
    </row>
    <row r="40" spans="4:4">
      <c r="D40" s="3"/>
    </row>
    <row r="41" spans="4:4">
      <c r="D41" s="3"/>
    </row>
    <row r="42" spans="4:4">
      <c r="D42" s="3"/>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VALIDATION_LISTS!$A$1:$A$4</xm:f>
          </x14:formula1>
          <xm:sqref>B2:B20 B43:B1008 B22:B23</xm:sqref>
        </x14:dataValidation>
        <x14:dataValidation type="list" allowBlank="1" showInputMessage="1" showErrorMessage="1" xr:uid="{00000000-0002-0000-0000-000001000000}">
          <x14:formula1>
            <xm:f>VALIDATION_LISTS!$B$1:$B$10</xm:f>
          </x14:formula1>
          <xm:sqref>E2:E20 E43:E1007 E22:E23</xm:sqref>
        </x14:dataValidation>
        <x14:dataValidation type="list" allowBlank="1" showInputMessage="1" showErrorMessage="1" xr:uid="{00000000-0002-0000-0000-000002000000}">
          <x14:formula1>
            <xm:f>VALIDATION_LISTS!$C$1:$C$8</xm:f>
          </x14:formula1>
          <xm:sqref>H2:H20 H43:H1010 H22:H23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52DD0-2D30-0249-832D-557AEDCA4765}">
  <sheetPr codeName="Sheet4"/>
  <dimension ref="A1:KK420"/>
  <sheetViews>
    <sheetView zoomScale="59" zoomScaleNormal="100" workbookViewId="0">
      <selection activeCell="D9" sqref="D9"/>
    </sheetView>
  </sheetViews>
  <sheetFormatPr defaultColWidth="11.42578125" defaultRowHeight="25.15"/>
  <cols>
    <col min="1" max="1" width="33.7109375" style="17" bestFit="1" customWidth="1"/>
    <col min="2" max="2" width="31" style="17" bestFit="1" customWidth="1"/>
    <col min="3" max="3" width="54.140625" style="24" customWidth="1"/>
    <col min="4" max="4" width="41.28515625" style="24" customWidth="1"/>
    <col min="5" max="5" width="53.140625" style="24" customWidth="1"/>
    <col min="6" max="6" width="11.42578125" style="17"/>
    <col min="7" max="7" width="22.85546875" style="17" customWidth="1"/>
    <col min="8" max="295" width="11.42578125" style="17"/>
    <col min="296" max="296" width="15.140625" style="17" bestFit="1" customWidth="1"/>
    <col min="297" max="297" width="8.42578125" style="17" bestFit="1" customWidth="1"/>
    <col min="298" max="16384" width="11.42578125" style="17"/>
  </cols>
  <sheetData>
    <row r="1" spans="1:7" ht="50.45">
      <c r="A1" s="16" t="s">
        <v>89</v>
      </c>
      <c r="B1" s="16" t="s">
        <v>90</v>
      </c>
      <c r="C1" s="16" t="s">
        <v>91</v>
      </c>
      <c r="D1" s="16" t="s">
        <v>92</v>
      </c>
      <c r="E1" s="16" t="s">
        <v>93</v>
      </c>
    </row>
    <row r="2" spans="1:7" ht="171.6" customHeight="1">
      <c r="A2" s="18">
        <v>45916</v>
      </c>
      <c r="B2" s="18">
        <f ca="1">TODAY()</f>
        <v>46070</v>
      </c>
      <c r="C2" s="19" t="s">
        <v>94</v>
      </c>
      <c r="D2" s="19" t="s">
        <v>95</v>
      </c>
      <c r="E2" s="19" t="s">
        <v>96</v>
      </c>
      <c r="G2" s="17" t="e" vm="17">
        <v>#VALUE!</v>
      </c>
    </row>
    <row r="3" spans="1:7">
      <c r="A3" s="20">
        <f ca="1">B2+1</f>
        <v>46071</v>
      </c>
      <c r="B3" s="20"/>
      <c r="C3" s="19"/>
      <c r="D3" s="19"/>
      <c r="E3" s="19"/>
    </row>
    <row r="4" spans="1:7">
      <c r="A4" s="20"/>
      <c r="B4" s="20"/>
      <c r="C4" s="19"/>
      <c r="D4" s="19"/>
      <c r="E4" s="19"/>
    </row>
    <row r="5" spans="1:7">
      <c r="A5" s="20"/>
      <c r="B5" s="20"/>
      <c r="C5" s="19"/>
      <c r="D5" s="19"/>
      <c r="E5" s="19"/>
    </row>
    <row r="6" spans="1:7">
      <c r="A6" s="20"/>
      <c r="B6" s="20"/>
      <c r="C6" s="19"/>
      <c r="D6" s="19"/>
      <c r="E6" s="19"/>
    </row>
    <row r="7" spans="1:7">
      <c r="A7" s="20"/>
      <c r="B7" s="20"/>
      <c r="C7" s="19"/>
      <c r="D7" s="19"/>
      <c r="E7" s="19"/>
    </row>
    <row r="8" spans="1:7">
      <c r="A8" s="21"/>
      <c r="B8" s="21"/>
      <c r="C8" s="22"/>
      <c r="D8" s="22"/>
      <c r="E8" s="22"/>
    </row>
    <row r="9" spans="1:7">
      <c r="A9" s="21"/>
      <c r="B9" s="21"/>
      <c r="C9" s="22"/>
      <c r="D9" s="22"/>
      <c r="E9" s="22"/>
    </row>
    <row r="10" spans="1:7">
      <c r="A10" s="21"/>
      <c r="B10" s="21"/>
      <c r="C10" s="22"/>
      <c r="D10" s="22"/>
      <c r="E10" s="22"/>
    </row>
    <row r="11" spans="1:7">
      <c r="A11" s="21"/>
      <c r="B11" s="21"/>
      <c r="C11" s="22"/>
      <c r="D11" s="22"/>
      <c r="E11" s="22"/>
    </row>
    <row r="12" spans="1:7">
      <c r="A12" s="21"/>
      <c r="B12" s="21"/>
      <c r="C12" s="22"/>
      <c r="D12" s="22"/>
      <c r="E12" s="22"/>
    </row>
    <row r="13" spans="1:7">
      <c r="A13" s="21"/>
      <c r="B13" s="21"/>
      <c r="C13" s="22"/>
      <c r="D13" s="22"/>
      <c r="E13" s="22"/>
    </row>
    <row r="14" spans="1:7">
      <c r="A14" s="21"/>
      <c r="B14" s="21"/>
      <c r="C14" s="22"/>
      <c r="D14" s="22"/>
      <c r="E14" s="22"/>
    </row>
    <row r="15" spans="1:7">
      <c r="A15" s="21"/>
      <c r="B15" s="21"/>
      <c r="C15" s="22"/>
      <c r="D15" s="22"/>
      <c r="E15" s="22"/>
    </row>
    <row r="16" spans="1:7">
      <c r="A16" s="21"/>
      <c r="B16" s="21"/>
      <c r="C16" s="22"/>
      <c r="D16" s="22"/>
      <c r="E16" s="22"/>
    </row>
    <row r="17" spans="1:5">
      <c r="A17" s="21"/>
      <c r="B17" s="21"/>
      <c r="C17" s="22"/>
      <c r="D17" s="22"/>
      <c r="E17" s="22"/>
    </row>
    <row r="18" spans="1:5">
      <c r="A18" s="21"/>
      <c r="B18" s="21"/>
      <c r="C18" s="22"/>
      <c r="D18" s="22"/>
      <c r="E18" s="22"/>
    </row>
    <row r="19" spans="1:5">
      <c r="A19" s="21"/>
      <c r="B19" s="21"/>
      <c r="C19" s="22"/>
      <c r="D19" s="22"/>
      <c r="E19" s="22"/>
    </row>
    <row r="20" spans="1:5">
      <c r="A20" s="21"/>
      <c r="B20" s="21"/>
      <c r="C20" s="22"/>
      <c r="D20" s="22"/>
      <c r="E20" s="22"/>
    </row>
    <row r="21" spans="1:5">
      <c r="A21" s="21"/>
      <c r="B21" s="21"/>
      <c r="C21" s="22"/>
      <c r="D21" s="22"/>
      <c r="E21" s="22"/>
    </row>
    <row r="22" spans="1:5">
      <c r="A22" s="21"/>
      <c r="B22" s="21"/>
      <c r="C22" s="22"/>
      <c r="D22" s="22"/>
      <c r="E22" s="22"/>
    </row>
    <row r="23" spans="1:5">
      <c r="A23" s="21"/>
      <c r="B23" s="21"/>
      <c r="C23" s="22"/>
      <c r="D23" s="22"/>
      <c r="E23" s="22"/>
    </row>
    <row r="24" spans="1:5">
      <c r="A24" s="21"/>
      <c r="B24" s="21"/>
      <c r="C24" s="22"/>
      <c r="D24" s="22"/>
      <c r="E24" s="22"/>
    </row>
    <row r="25" spans="1:5">
      <c r="A25" s="21"/>
      <c r="B25" s="21"/>
      <c r="C25" s="22"/>
      <c r="D25" s="22"/>
      <c r="E25" s="22"/>
    </row>
    <row r="26" spans="1:5">
      <c r="A26" s="21"/>
      <c r="B26" s="21"/>
      <c r="C26" s="22"/>
      <c r="D26" s="22"/>
      <c r="E26" s="22"/>
    </row>
    <row r="27" spans="1:5">
      <c r="A27" s="21"/>
      <c r="B27" s="21"/>
      <c r="C27" s="22"/>
      <c r="D27" s="22"/>
      <c r="E27" s="22"/>
    </row>
    <row r="28" spans="1:5">
      <c r="A28" s="21"/>
      <c r="B28" s="21"/>
      <c r="C28" s="22"/>
      <c r="D28" s="22"/>
      <c r="E28" s="22"/>
    </row>
    <row r="29" spans="1:5">
      <c r="A29" s="21"/>
      <c r="B29" s="21"/>
      <c r="C29" s="22"/>
      <c r="D29" s="22"/>
      <c r="E29" s="22"/>
    </row>
    <row r="30" spans="1:5">
      <c r="A30" s="21"/>
      <c r="B30" s="21"/>
      <c r="C30" s="22"/>
      <c r="D30" s="22"/>
      <c r="E30" s="22"/>
    </row>
    <row r="31" spans="1:5">
      <c r="A31" s="21"/>
      <c r="B31" s="21"/>
      <c r="C31" s="22"/>
      <c r="D31" s="22"/>
      <c r="E31" s="22"/>
    </row>
    <row r="32" spans="1:5">
      <c r="A32" s="21"/>
      <c r="B32" s="21"/>
      <c r="C32" s="22"/>
      <c r="D32" s="22"/>
      <c r="E32" s="22"/>
    </row>
    <row r="33" spans="1:5">
      <c r="A33" s="21"/>
      <c r="B33" s="21"/>
      <c r="C33" s="22"/>
      <c r="D33" s="22"/>
      <c r="E33" s="22"/>
    </row>
    <row r="34" spans="1:5">
      <c r="A34" s="21"/>
      <c r="B34" s="21"/>
      <c r="C34" s="22"/>
      <c r="D34" s="22"/>
      <c r="E34" s="22"/>
    </row>
    <row r="35" spans="1:5">
      <c r="A35" s="21"/>
      <c r="B35" s="21"/>
      <c r="C35" s="22"/>
      <c r="D35" s="22"/>
      <c r="E35" s="22"/>
    </row>
    <row r="36" spans="1:5">
      <c r="A36" s="21"/>
      <c r="B36" s="21"/>
      <c r="C36" s="22"/>
      <c r="D36" s="22"/>
      <c r="E36" s="22"/>
    </row>
    <row r="37" spans="1:5">
      <c r="A37" s="21"/>
      <c r="B37" s="21"/>
      <c r="C37" s="22"/>
      <c r="D37" s="22"/>
      <c r="E37" s="22"/>
    </row>
    <row r="38" spans="1:5">
      <c r="A38" s="21"/>
      <c r="B38" s="21"/>
      <c r="C38" s="22"/>
      <c r="D38" s="22"/>
      <c r="E38" s="22"/>
    </row>
    <row r="39" spans="1:5">
      <c r="A39" s="21"/>
      <c r="B39" s="21"/>
      <c r="C39" s="22"/>
      <c r="D39" s="22"/>
      <c r="E39" s="22"/>
    </row>
    <row r="40" spans="1:5">
      <c r="A40" s="21"/>
      <c r="B40" s="21"/>
      <c r="C40" s="22"/>
      <c r="D40" s="22"/>
      <c r="E40" s="22"/>
    </row>
    <row r="41" spans="1:5">
      <c r="A41" s="21"/>
      <c r="B41" s="21"/>
      <c r="C41" s="22"/>
      <c r="D41" s="22"/>
      <c r="E41" s="22"/>
    </row>
    <row r="42" spans="1:5">
      <c r="A42" s="21"/>
      <c r="B42" s="21"/>
      <c r="C42" s="22"/>
      <c r="D42" s="22"/>
      <c r="E42" s="22"/>
    </row>
    <row r="43" spans="1:5">
      <c r="A43" s="21"/>
      <c r="B43" s="21"/>
      <c r="C43" s="22"/>
      <c r="D43" s="22"/>
      <c r="E43" s="22"/>
    </row>
    <row r="44" spans="1:5">
      <c r="A44" s="21"/>
      <c r="B44" s="21"/>
      <c r="C44" s="22"/>
      <c r="D44" s="22"/>
      <c r="E44" s="22"/>
    </row>
    <row r="45" spans="1:5">
      <c r="A45" s="21"/>
      <c r="B45" s="21"/>
      <c r="C45" s="22"/>
      <c r="D45" s="22"/>
      <c r="E45" s="22"/>
    </row>
    <row r="46" spans="1:5">
      <c r="A46" s="21"/>
      <c r="B46" s="21"/>
      <c r="C46" s="22"/>
      <c r="D46" s="22"/>
      <c r="E46" s="22"/>
    </row>
    <row r="47" spans="1:5">
      <c r="A47" s="21"/>
      <c r="B47" s="21"/>
      <c r="C47" s="22"/>
      <c r="D47" s="22"/>
      <c r="E47" s="22"/>
    </row>
    <row r="48" spans="1:5">
      <c r="A48" s="21"/>
      <c r="B48" s="21"/>
      <c r="C48" s="22"/>
      <c r="D48" s="22"/>
      <c r="E48" s="22"/>
    </row>
    <row r="49" spans="1:5">
      <c r="A49" s="21"/>
      <c r="B49" s="21"/>
      <c r="C49" s="22"/>
      <c r="D49" s="22"/>
      <c r="E49" s="22"/>
    </row>
    <row r="50" spans="1:5">
      <c r="A50" s="21"/>
      <c r="B50" s="21"/>
      <c r="C50" s="22"/>
      <c r="D50" s="22"/>
      <c r="E50" s="22"/>
    </row>
    <row r="51" spans="1:5">
      <c r="A51" s="23"/>
      <c r="B51" s="23"/>
      <c r="C51" s="22"/>
      <c r="D51" s="22"/>
      <c r="E51" s="22"/>
    </row>
    <row r="52" spans="1:5">
      <c r="A52" s="23"/>
      <c r="B52" s="23"/>
      <c r="C52" s="22"/>
      <c r="D52" s="22"/>
      <c r="E52" s="22"/>
    </row>
    <row r="53" spans="1:5">
      <c r="A53" s="23"/>
      <c r="B53" s="23"/>
      <c r="C53" s="22"/>
      <c r="D53" s="22"/>
      <c r="E53" s="22"/>
    </row>
    <row r="54" spans="1:5">
      <c r="A54" s="23"/>
      <c r="B54" s="23"/>
      <c r="C54" s="22"/>
      <c r="D54" s="22"/>
      <c r="E54" s="22"/>
    </row>
    <row r="55" spans="1:5">
      <c r="A55" s="23"/>
      <c r="B55" s="23"/>
      <c r="C55" s="22"/>
      <c r="D55" s="22"/>
      <c r="E55" s="22"/>
    </row>
    <row r="56" spans="1:5">
      <c r="A56" s="23"/>
      <c r="B56" s="23"/>
      <c r="C56" s="22"/>
      <c r="D56" s="22"/>
      <c r="E56" s="22"/>
    </row>
    <row r="57" spans="1:5">
      <c r="A57" s="23"/>
      <c r="B57" s="23"/>
      <c r="C57" s="22"/>
      <c r="D57" s="22"/>
      <c r="E57" s="22"/>
    </row>
    <row r="58" spans="1:5">
      <c r="A58" s="23"/>
      <c r="B58" s="23"/>
      <c r="C58" s="22"/>
      <c r="D58" s="22"/>
      <c r="E58" s="22"/>
    </row>
    <row r="59" spans="1:5">
      <c r="A59" s="23"/>
      <c r="B59" s="23"/>
      <c r="C59" s="22"/>
      <c r="D59" s="22"/>
      <c r="E59" s="22"/>
    </row>
    <row r="60" spans="1:5">
      <c r="A60" s="23"/>
      <c r="B60" s="23"/>
      <c r="C60" s="22"/>
      <c r="D60" s="22"/>
      <c r="E60" s="22"/>
    </row>
    <row r="61" spans="1:5">
      <c r="A61" s="23"/>
      <c r="B61" s="23"/>
      <c r="C61" s="22"/>
      <c r="D61" s="22"/>
      <c r="E61" s="22"/>
    </row>
    <row r="62" spans="1:5">
      <c r="A62" s="23"/>
      <c r="B62" s="23"/>
      <c r="C62" s="22"/>
      <c r="D62" s="22"/>
      <c r="E62" s="22"/>
    </row>
    <row r="63" spans="1:5">
      <c r="A63" s="23"/>
      <c r="B63" s="23"/>
      <c r="C63" s="22"/>
      <c r="D63" s="22"/>
      <c r="E63" s="22"/>
    </row>
    <row r="64" spans="1:5">
      <c r="A64" s="23"/>
      <c r="B64" s="23"/>
      <c r="C64" s="22"/>
      <c r="D64" s="22"/>
      <c r="E64" s="22"/>
    </row>
    <row r="65" spans="1:5">
      <c r="A65" s="23"/>
      <c r="B65" s="23"/>
      <c r="C65" s="22"/>
      <c r="D65" s="22"/>
      <c r="E65" s="22"/>
    </row>
    <row r="66" spans="1:5">
      <c r="A66" s="23"/>
      <c r="B66" s="23"/>
      <c r="C66" s="22"/>
      <c r="D66" s="22"/>
      <c r="E66" s="22"/>
    </row>
    <row r="67" spans="1:5">
      <c r="A67" s="23"/>
      <c r="B67" s="23"/>
      <c r="C67" s="22"/>
      <c r="D67" s="22"/>
      <c r="E67" s="22"/>
    </row>
    <row r="68" spans="1:5">
      <c r="A68" s="23"/>
      <c r="B68" s="23"/>
      <c r="C68" s="22"/>
      <c r="D68" s="22"/>
      <c r="E68" s="22"/>
    </row>
    <row r="69" spans="1:5">
      <c r="A69" s="23"/>
      <c r="B69" s="23"/>
      <c r="C69" s="22"/>
      <c r="D69" s="22"/>
      <c r="E69" s="22"/>
    </row>
    <row r="70" spans="1:5">
      <c r="A70" s="23"/>
      <c r="B70" s="23"/>
      <c r="C70" s="22"/>
      <c r="D70" s="22"/>
      <c r="E70" s="22"/>
    </row>
    <row r="71" spans="1:5">
      <c r="A71" s="23"/>
      <c r="B71" s="23"/>
      <c r="C71" s="22"/>
      <c r="D71" s="22"/>
      <c r="E71" s="22"/>
    </row>
    <row r="72" spans="1:5">
      <c r="A72" s="23"/>
      <c r="B72" s="23"/>
      <c r="C72" s="22"/>
      <c r="D72" s="22"/>
      <c r="E72" s="22"/>
    </row>
    <row r="73" spans="1:5">
      <c r="A73" s="23"/>
      <c r="B73" s="23"/>
      <c r="C73" s="22"/>
      <c r="D73" s="22"/>
      <c r="E73" s="22"/>
    </row>
    <row r="74" spans="1:5">
      <c r="A74" s="23"/>
      <c r="B74" s="23"/>
      <c r="C74" s="22"/>
      <c r="D74" s="22"/>
      <c r="E74" s="22"/>
    </row>
    <row r="75" spans="1:5">
      <c r="A75" s="23"/>
      <c r="B75" s="23"/>
      <c r="C75" s="22"/>
      <c r="D75" s="22"/>
      <c r="E75" s="22"/>
    </row>
    <row r="76" spans="1:5">
      <c r="A76" s="23"/>
      <c r="B76" s="23"/>
      <c r="C76" s="22"/>
      <c r="D76" s="22"/>
      <c r="E76" s="22"/>
    </row>
    <row r="77" spans="1:5">
      <c r="A77" s="23"/>
      <c r="B77" s="23"/>
      <c r="C77" s="22"/>
      <c r="D77" s="22"/>
      <c r="E77" s="22"/>
    </row>
    <row r="78" spans="1:5">
      <c r="A78" s="23"/>
      <c r="B78" s="23"/>
      <c r="C78" s="22"/>
      <c r="D78" s="22"/>
      <c r="E78" s="22"/>
    </row>
    <row r="79" spans="1:5">
      <c r="A79" s="23"/>
      <c r="B79" s="23"/>
      <c r="C79" s="22"/>
      <c r="D79" s="22"/>
      <c r="E79" s="22"/>
    </row>
    <row r="80" spans="1:5">
      <c r="A80" s="23"/>
      <c r="B80" s="23"/>
      <c r="C80" s="22"/>
      <c r="D80" s="22"/>
      <c r="E80" s="22"/>
    </row>
    <row r="81" spans="1:5">
      <c r="A81" s="23"/>
      <c r="B81" s="23"/>
      <c r="C81" s="22"/>
      <c r="D81" s="22"/>
      <c r="E81" s="22"/>
    </row>
    <row r="82" spans="1:5">
      <c r="A82" s="23"/>
      <c r="B82" s="23"/>
      <c r="C82" s="22"/>
      <c r="D82" s="22"/>
      <c r="E82" s="22"/>
    </row>
    <row r="83" spans="1:5">
      <c r="A83" s="23"/>
      <c r="B83" s="23"/>
      <c r="C83" s="22"/>
      <c r="D83" s="22"/>
      <c r="E83" s="22"/>
    </row>
    <row r="84" spans="1:5">
      <c r="A84" s="23"/>
      <c r="B84" s="23"/>
      <c r="C84" s="22"/>
      <c r="D84" s="22"/>
      <c r="E84" s="22"/>
    </row>
    <row r="85" spans="1:5">
      <c r="A85" s="23"/>
      <c r="B85" s="23"/>
      <c r="C85" s="22"/>
      <c r="D85" s="22"/>
      <c r="E85" s="22"/>
    </row>
    <row r="86" spans="1:5">
      <c r="A86" s="23"/>
      <c r="B86" s="23"/>
      <c r="C86" s="22"/>
      <c r="D86" s="22"/>
      <c r="E86" s="22"/>
    </row>
    <row r="87" spans="1:5">
      <c r="A87" s="23"/>
      <c r="B87" s="23"/>
      <c r="C87" s="22"/>
      <c r="D87" s="22"/>
      <c r="E87" s="22"/>
    </row>
    <row r="88" spans="1:5">
      <c r="A88" s="23"/>
      <c r="B88" s="23"/>
      <c r="C88" s="22"/>
      <c r="D88" s="22"/>
      <c r="E88" s="22"/>
    </row>
    <row r="89" spans="1:5">
      <c r="A89" s="23"/>
      <c r="B89" s="23"/>
      <c r="C89" s="22"/>
      <c r="D89" s="22"/>
      <c r="E89" s="22"/>
    </row>
    <row r="90" spans="1:5">
      <c r="A90" s="23"/>
      <c r="B90" s="23"/>
      <c r="C90" s="22"/>
      <c r="D90" s="22"/>
      <c r="E90" s="22"/>
    </row>
    <row r="91" spans="1:5">
      <c r="A91" s="23"/>
      <c r="B91" s="23"/>
      <c r="C91" s="22"/>
      <c r="D91" s="22"/>
      <c r="E91" s="22"/>
    </row>
    <row r="92" spans="1:5">
      <c r="A92" s="23"/>
      <c r="B92" s="23"/>
      <c r="C92" s="22"/>
      <c r="D92" s="22"/>
      <c r="E92" s="22"/>
    </row>
    <row r="93" spans="1:5">
      <c r="A93" s="23"/>
      <c r="B93" s="23"/>
      <c r="C93" s="22"/>
      <c r="D93" s="22"/>
      <c r="E93" s="22"/>
    </row>
    <row r="94" spans="1:5">
      <c r="A94" s="23"/>
      <c r="B94" s="23"/>
      <c r="C94" s="22"/>
      <c r="D94" s="22"/>
      <c r="E94" s="22"/>
    </row>
    <row r="95" spans="1:5">
      <c r="A95" s="23"/>
      <c r="B95" s="23"/>
      <c r="C95" s="22"/>
      <c r="D95" s="22"/>
      <c r="E95" s="22"/>
    </row>
    <row r="96" spans="1:5">
      <c r="A96" s="23"/>
      <c r="B96" s="23"/>
      <c r="C96" s="22"/>
      <c r="D96" s="22"/>
      <c r="E96" s="22"/>
    </row>
    <row r="97" spans="1:5">
      <c r="A97" s="23"/>
      <c r="B97" s="23"/>
      <c r="C97" s="22"/>
      <c r="D97" s="22"/>
      <c r="E97" s="22"/>
    </row>
    <row r="98" spans="1:5">
      <c r="A98" s="23"/>
      <c r="B98" s="23"/>
      <c r="C98" s="22"/>
      <c r="D98" s="22"/>
      <c r="E98" s="22"/>
    </row>
    <row r="99" spans="1:5">
      <c r="A99" s="23"/>
      <c r="B99" s="23"/>
      <c r="C99" s="22"/>
      <c r="D99" s="22"/>
      <c r="E99" s="22"/>
    </row>
    <row r="100" spans="1:5">
      <c r="A100" s="23"/>
      <c r="B100" s="23"/>
      <c r="C100" s="22"/>
      <c r="D100" s="22"/>
      <c r="E100" s="22"/>
    </row>
    <row r="101" spans="1:5">
      <c r="A101" s="23"/>
      <c r="B101" s="23"/>
      <c r="C101" s="22"/>
      <c r="D101" s="22"/>
      <c r="E101" s="22"/>
    </row>
    <row r="102" spans="1:5">
      <c r="A102" s="23"/>
      <c r="B102" s="23"/>
      <c r="C102" s="22"/>
      <c r="D102" s="22"/>
      <c r="E102" s="22"/>
    </row>
    <row r="103" spans="1:5">
      <c r="A103" s="23"/>
      <c r="B103" s="23"/>
      <c r="C103" s="22"/>
      <c r="D103" s="22"/>
      <c r="E103" s="22"/>
    </row>
    <row r="104" spans="1:5">
      <c r="A104" s="23"/>
      <c r="B104" s="23"/>
      <c r="C104" s="22"/>
      <c r="D104" s="22"/>
      <c r="E104" s="22"/>
    </row>
    <row r="105" spans="1:5">
      <c r="A105" s="23"/>
      <c r="B105" s="23"/>
      <c r="C105" s="22"/>
      <c r="D105" s="22"/>
      <c r="E105" s="22"/>
    </row>
    <row r="106" spans="1:5">
      <c r="A106" s="23"/>
      <c r="B106" s="23"/>
      <c r="C106" s="22"/>
      <c r="D106" s="22"/>
      <c r="E106" s="22"/>
    </row>
    <row r="107" spans="1:5">
      <c r="A107" s="23"/>
      <c r="B107" s="23"/>
      <c r="C107" s="22"/>
      <c r="D107" s="22"/>
      <c r="E107" s="22"/>
    </row>
    <row r="108" spans="1:5">
      <c r="A108" s="23"/>
      <c r="B108" s="23"/>
      <c r="C108" s="22"/>
      <c r="D108" s="22"/>
      <c r="E108" s="22"/>
    </row>
    <row r="109" spans="1:5">
      <c r="A109" s="23"/>
      <c r="B109" s="23"/>
      <c r="C109" s="22"/>
      <c r="D109" s="22"/>
      <c r="E109" s="22"/>
    </row>
    <row r="110" spans="1:5">
      <c r="A110" s="23"/>
      <c r="B110" s="23"/>
      <c r="C110" s="22"/>
      <c r="D110" s="22"/>
      <c r="E110" s="22"/>
    </row>
    <row r="111" spans="1:5">
      <c r="A111" s="23"/>
      <c r="B111" s="23"/>
      <c r="C111" s="22"/>
      <c r="D111" s="22"/>
      <c r="E111" s="22"/>
    </row>
    <row r="112" spans="1:5">
      <c r="A112" s="23"/>
      <c r="B112" s="23"/>
      <c r="C112" s="22"/>
      <c r="D112" s="22"/>
      <c r="E112" s="22"/>
    </row>
    <row r="113" spans="1:5">
      <c r="A113" s="23"/>
      <c r="B113" s="23"/>
      <c r="C113" s="22"/>
      <c r="D113" s="22"/>
      <c r="E113" s="22"/>
    </row>
    <row r="114" spans="1:5">
      <c r="A114" s="23"/>
      <c r="B114" s="23"/>
      <c r="C114" s="22"/>
      <c r="D114" s="22"/>
      <c r="E114" s="22"/>
    </row>
    <row r="115" spans="1:5">
      <c r="A115" s="23"/>
      <c r="B115" s="23"/>
      <c r="C115" s="22"/>
      <c r="D115" s="22"/>
      <c r="E115" s="22"/>
    </row>
    <row r="116" spans="1:5">
      <c r="A116" s="23"/>
      <c r="B116" s="23"/>
      <c r="C116" s="22"/>
      <c r="D116" s="22"/>
      <c r="E116" s="22"/>
    </row>
    <row r="117" spans="1:5">
      <c r="A117" s="23"/>
      <c r="B117" s="23"/>
      <c r="C117" s="22"/>
      <c r="D117" s="22"/>
      <c r="E117" s="22"/>
    </row>
    <row r="118" spans="1:5">
      <c r="A118" s="23"/>
      <c r="B118" s="23"/>
      <c r="C118" s="22"/>
      <c r="D118" s="22"/>
      <c r="E118" s="22"/>
    </row>
    <row r="119" spans="1:5">
      <c r="A119" s="23"/>
      <c r="B119" s="23"/>
      <c r="C119" s="22"/>
      <c r="D119" s="22"/>
      <c r="E119" s="22"/>
    </row>
    <row r="120" spans="1:5">
      <c r="A120" s="23"/>
      <c r="B120" s="23"/>
      <c r="C120" s="22"/>
      <c r="D120" s="22"/>
      <c r="E120" s="22"/>
    </row>
    <row r="121" spans="1:5">
      <c r="A121" s="23"/>
      <c r="B121" s="23"/>
      <c r="C121" s="22"/>
      <c r="D121" s="22"/>
      <c r="E121" s="22"/>
    </row>
    <row r="122" spans="1:5">
      <c r="A122" s="23"/>
      <c r="B122" s="23"/>
      <c r="C122" s="22"/>
      <c r="D122" s="22"/>
      <c r="E122" s="22"/>
    </row>
    <row r="123" spans="1:5">
      <c r="A123" s="23"/>
      <c r="B123" s="23"/>
      <c r="C123" s="22"/>
      <c r="D123" s="22"/>
      <c r="E123" s="22"/>
    </row>
    <row r="124" spans="1:5">
      <c r="A124" s="23"/>
      <c r="B124" s="23"/>
      <c r="C124" s="22"/>
      <c r="D124" s="22"/>
      <c r="E124" s="22"/>
    </row>
    <row r="125" spans="1:5">
      <c r="A125" s="23"/>
      <c r="B125" s="23"/>
      <c r="C125" s="22"/>
      <c r="D125" s="22"/>
      <c r="E125" s="22"/>
    </row>
    <row r="126" spans="1:5">
      <c r="A126" s="23"/>
      <c r="B126" s="23"/>
      <c r="C126" s="22"/>
      <c r="D126" s="22"/>
      <c r="E126" s="22"/>
    </row>
    <row r="127" spans="1:5">
      <c r="A127" s="23"/>
      <c r="B127" s="23"/>
      <c r="C127" s="22"/>
      <c r="D127" s="22"/>
      <c r="E127" s="22"/>
    </row>
    <row r="128" spans="1:5">
      <c r="A128" s="23"/>
      <c r="B128" s="23"/>
      <c r="C128" s="22"/>
      <c r="D128" s="22"/>
      <c r="E128" s="22"/>
    </row>
    <row r="129" spans="1:5">
      <c r="A129" s="23"/>
      <c r="B129" s="23"/>
      <c r="C129" s="22"/>
      <c r="D129" s="22"/>
      <c r="E129" s="22"/>
    </row>
    <row r="130" spans="1:5">
      <c r="A130" s="23"/>
      <c r="B130" s="23"/>
      <c r="C130" s="22"/>
      <c r="D130" s="22"/>
      <c r="E130" s="22"/>
    </row>
    <row r="131" spans="1:5">
      <c r="A131" s="23"/>
      <c r="B131" s="23"/>
      <c r="C131" s="22"/>
      <c r="D131" s="22"/>
      <c r="E131" s="22"/>
    </row>
    <row r="132" spans="1:5">
      <c r="A132" s="23"/>
      <c r="B132" s="23"/>
      <c r="C132" s="22"/>
      <c r="D132" s="22"/>
      <c r="E132" s="22"/>
    </row>
    <row r="133" spans="1:5">
      <c r="A133" s="23"/>
      <c r="B133" s="23"/>
      <c r="C133" s="22"/>
      <c r="D133" s="22"/>
      <c r="E133" s="22"/>
    </row>
    <row r="134" spans="1:5">
      <c r="A134" s="23"/>
      <c r="B134" s="23"/>
      <c r="C134" s="22"/>
      <c r="D134" s="22"/>
      <c r="E134" s="22"/>
    </row>
    <row r="135" spans="1:5">
      <c r="A135" s="23"/>
      <c r="B135" s="23"/>
      <c r="C135" s="22"/>
      <c r="D135" s="22"/>
      <c r="E135" s="22"/>
    </row>
    <row r="136" spans="1:5">
      <c r="A136" s="23"/>
      <c r="B136" s="23"/>
      <c r="C136" s="22"/>
      <c r="D136" s="22"/>
      <c r="E136" s="22"/>
    </row>
    <row r="137" spans="1:5">
      <c r="A137" s="23"/>
      <c r="B137" s="23"/>
      <c r="C137" s="22"/>
      <c r="D137" s="22"/>
      <c r="E137" s="22"/>
    </row>
    <row r="138" spans="1:5">
      <c r="A138" s="23"/>
      <c r="B138" s="23"/>
      <c r="C138" s="22"/>
      <c r="D138" s="22"/>
      <c r="E138" s="22"/>
    </row>
    <row r="139" spans="1:5">
      <c r="A139" s="23"/>
      <c r="B139" s="23"/>
      <c r="C139" s="22"/>
      <c r="D139" s="22"/>
      <c r="E139" s="22"/>
    </row>
    <row r="140" spans="1:5">
      <c r="A140" s="23"/>
      <c r="B140" s="23"/>
      <c r="C140" s="22"/>
      <c r="D140" s="22"/>
      <c r="E140" s="22"/>
    </row>
    <row r="141" spans="1:5">
      <c r="A141" s="23"/>
      <c r="B141" s="23"/>
      <c r="C141" s="22"/>
      <c r="D141" s="22"/>
      <c r="E141" s="22"/>
    </row>
    <row r="142" spans="1:5">
      <c r="A142" s="23"/>
      <c r="B142" s="23"/>
      <c r="C142" s="22"/>
      <c r="D142" s="22"/>
      <c r="E142" s="22"/>
    </row>
    <row r="143" spans="1:5">
      <c r="A143" s="23"/>
      <c r="B143" s="23"/>
      <c r="C143" s="22"/>
      <c r="D143" s="22"/>
      <c r="E143" s="22"/>
    </row>
    <row r="144" spans="1:5">
      <c r="A144" s="23"/>
      <c r="B144" s="23"/>
      <c r="C144" s="22"/>
      <c r="D144" s="22"/>
      <c r="E144" s="22"/>
    </row>
    <row r="145" spans="1:5">
      <c r="A145" s="23"/>
      <c r="B145" s="23"/>
      <c r="C145" s="22"/>
      <c r="D145" s="22"/>
      <c r="E145" s="22"/>
    </row>
    <row r="146" spans="1:5">
      <c r="A146" s="23"/>
      <c r="B146" s="23"/>
      <c r="C146" s="22"/>
      <c r="D146" s="22"/>
      <c r="E146" s="22"/>
    </row>
    <row r="147" spans="1:5">
      <c r="A147" s="23"/>
      <c r="B147" s="23"/>
      <c r="C147" s="22"/>
      <c r="D147" s="22"/>
      <c r="E147" s="22"/>
    </row>
    <row r="148" spans="1:5">
      <c r="A148" s="23"/>
      <c r="B148" s="23"/>
      <c r="C148" s="22"/>
      <c r="D148" s="22"/>
      <c r="E148" s="22"/>
    </row>
    <row r="149" spans="1:5">
      <c r="A149" s="23"/>
      <c r="B149" s="23"/>
      <c r="C149" s="22"/>
      <c r="D149" s="22"/>
      <c r="E149" s="22"/>
    </row>
    <row r="150" spans="1:5">
      <c r="A150" s="23"/>
      <c r="B150" s="23"/>
      <c r="C150" s="22"/>
      <c r="D150" s="22"/>
      <c r="E150" s="22"/>
    </row>
    <row r="151" spans="1:5">
      <c r="A151" s="23"/>
      <c r="B151" s="23"/>
      <c r="C151" s="22"/>
      <c r="D151" s="22"/>
      <c r="E151" s="22"/>
    </row>
    <row r="152" spans="1:5">
      <c r="A152" s="23"/>
      <c r="B152" s="23"/>
      <c r="C152" s="22"/>
      <c r="D152" s="22"/>
      <c r="E152" s="22"/>
    </row>
    <row r="153" spans="1:5">
      <c r="A153" s="23"/>
      <c r="B153" s="23"/>
      <c r="C153" s="22"/>
      <c r="D153" s="22"/>
      <c r="E153" s="22"/>
    </row>
    <row r="154" spans="1:5">
      <c r="A154" s="23"/>
      <c r="B154" s="23"/>
      <c r="C154" s="22"/>
      <c r="D154" s="22"/>
      <c r="E154" s="22"/>
    </row>
    <row r="155" spans="1:5">
      <c r="A155" s="23"/>
      <c r="B155" s="23"/>
      <c r="C155" s="22"/>
      <c r="D155" s="22"/>
      <c r="E155" s="22"/>
    </row>
    <row r="156" spans="1:5">
      <c r="A156" s="23"/>
      <c r="B156" s="23"/>
      <c r="C156" s="22"/>
      <c r="D156" s="22"/>
      <c r="E156" s="22"/>
    </row>
    <row r="157" spans="1:5">
      <c r="A157" s="23"/>
      <c r="B157" s="23"/>
      <c r="C157" s="22"/>
      <c r="D157" s="22"/>
      <c r="E157" s="22"/>
    </row>
    <row r="158" spans="1:5">
      <c r="A158" s="23"/>
      <c r="B158" s="23"/>
      <c r="C158" s="22"/>
      <c r="D158" s="22"/>
      <c r="E158" s="22"/>
    </row>
    <row r="159" spans="1:5">
      <c r="A159" s="23"/>
      <c r="B159" s="23"/>
      <c r="C159" s="22"/>
      <c r="D159" s="22"/>
      <c r="E159" s="22"/>
    </row>
    <row r="160" spans="1:5">
      <c r="A160" s="23"/>
      <c r="B160" s="23"/>
      <c r="C160" s="22"/>
      <c r="D160" s="22"/>
      <c r="E160" s="22"/>
    </row>
    <row r="161" spans="1:5">
      <c r="A161" s="23"/>
      <c r="B161" s="23"/>
      <c r="C161" s="22"/>
      <c r="D161" s="22"/>
      <c r="E161" s="22"/>
    </row>
    <row r="162" spans="1:5">
      <c r="A162" s="23"/>
      <c r="B162" s="23"/>
      <c r="C162" s="22"/>
      <c r="D162" s="22"/>
      <c r="E162" s="22"/>
    </row>
    <row r="163" spans="1:5">
      <c r="A163" s="23"/>
      <c r="B163" s="23"/>
      <c r="C163" s="22"/>
      <c r="D163" s="22"/>
      <c r="E163" s="22"/>
    </row>
    <row r="164" spans="1:5">
      <c r="A164" s="23"/>
      <c r="B164" s="23"/>
      <c r="C164" s="22"/>
      <c r="D164" s="22"/>
      <c r="E164" s="22"/>
    </row>
    <row r="165" spans="1:5">
      <c r="A165" s="23"/>
      <c r="B165" s="23"/>
      <c r="C165" s="22"/>
      <c r="D165" s="22"/>
      <c r="E165" s="22"/>
    </row>
    <row r="166" spans="1:5">
      <c r="A166" s="23"/>
      <c r="B166" s="23"/>
      <c r="C166" s="22"/>
      <c r="D166" s="22"/>
      <c r="E166" s="22"/>
    </row>
    <row r="167" spans="1:5">
      <c r="A167" s="23"/>
      <c r="B167" s="23"/>
      <c r="C167" s="22"/>
      <c r="D167" s="22"/>
      <c r="E167" s="22"/>
    </row>
    <row r="168" spans="1:5">
      <c r="A168" s="23"/>
      <c r="B168" s="23"/>
      <c r="C168" s="22"/>
      <c r="D168" s="22"/>
      <c r="E168" s="22"/>
    </row>
    <row r="169" spans="1:5">
      <c r="A169" s="23"/>
      <c r="B169" s="23"/>
      <c r="C169" s="22"/>
      <c r="D169" s="22"/>
      <c r="E169" s="22"/>
    </row>
    <row r="170" spans="1:5">
      <c r="A170" s="23"/>
      <c r="B170" s="23"/>
      <c r="C170" s="22"/>
      <c r="D170" s="22"/>
      <c r="E170" s="22"/>
    </row>
    <row r="171" spans="1:5">
      <c r="A171" s="23"/>
      <c r="B171" s="23"/>
      <c r="C171" s="22"/>
      <c r="D171" s="22"/>
      <c r="E171" s="22"/>
    </row>
    <row r="172" spans="1:5">
      <c r="A172" s="23"/>
      <c r="B172" s="23"/>
      <c r="C172" s="22"/>
      <c r="D172" s="22"/>
      <c r="E172" s="22"/>
    </row>
    <row r="173" spans="1:5">
      <c r="A173" s="23"/>
      <c r="B173" s="23"/>
      <c r="C173" s="22"/>
      <c r="D173" s="22"/>
      <c r="E173" s="22"/>
    </row>
    <row r="174" spans="1:5">
      <c r="A174" s="23"/>
      <c r="B174" s="23"/>
      <c r="C174" s="22"/>
      <c r="D174" s="22"/>
      <c r="E174" s="22"/>
    </row>
    <row r="175" spans="1:5">
      <c r="A175" s="23"/>
      <c r="B175" s="23"/>
      <c r="C175" s="22"/>
      <c r="D175" s="22"/>
      <c r="E175" s="22"/>
    </row>
    <row r="176" spans="1:5">
      <c r="A176" s="23"/>
      <c r="B176" s="23"/>
      <c r="C176" s="22"/>
      <c r="D176" s="22"/>
      <c r="E176" s="22"/>
    </row>
    <row r="177" spans="1:5">
      <c r="A177" s="23"/>
      <c r="B177" s="23"/>
      <c r="C177" s="22"/>
      <c r="D177" s="22"/>
      <c r="E177" s="22"/>
    </row>
    <row r="178" spans="1:5">
      <c r="A178" s="23"/>
      <c r="B178" s="23"/>
      <c r="C178" s="22"/>
      <c r="D178" s="22"/>
      <c r="E178" s="22"/>
    </row>
    <row r="179" spans="1:5">
      <c r="A179" s="23"/>
      <c r="B179" s="23"/>
      <c r="C179" s="22"/>
      <c r="D179" s="22"/>
      <c r="E179" s="22"/>
    </row>
    <row r="180" spans="1:5">
      <c r="A180" s="23"/>
      <c r="B180" s="23"/>
      <c r="C180" s="22"/>
      <c r="D180" s="22"/>
      <c r="E180" s="22"/>
    </row>
    <row r="181" spans="1:5">
      <c r="A181" s="23"/>
      <c r="B181" s="23"/>
      <c r="C181" s="22"/>
      <c r="D181" s="22"/>
      <c r="E181" s="22"/>
    </row>
    <row r="182" spans="1:5">
      <c r="A182" s="23"/>
      <c r="B182" s="23"/>
      <c r="C182" s="22"/>
      <c r="D182" s="22"/>
      <c r="E182" s="22"/>
    </row>
    <row r="183" spans="1:5">
      <c r="A183" s="23"/>
      <c r="B183" s="23"/>
      <c r="C183" s="22"/>
      <c r="D183" s="22"/>
      <c r="E183" s="22"/>
    </row>
    <row r="184" spans="1:5">
      <c r="A184" s="23"/>
      <c r="B184" s="23"/>
      <c r="C184" s="22"/>
      <c r="D184" s="22"/>
      <c r="E184" s="22"/>
    </row>
    <row r="185" spans="1:5">
      <c r="A185" s="23"/>
      <c r="B185" s="23"/>
      <c r="C185" s="22"/>
      <c r="D185" s="22"/>
      <c r="E185" s="22"/>
    </row>
    <row r="186" spans="1:5">
      <c r="A186" s="23"/>
      <c r="B186" s="23"/>
      <c r="C186" s="22"/>
      <c r="D186" s="22"/>
      <c r="E186" s="22"/>
    </row>
    <row r="187" spans="1:5">
      <c r="A187" s="23"/>
      <c r="B187" s="23"/>
      <c r="C187" s="22"/>
      <c r="D187" s="22"/>
      <c r="E187" s="22"/>
    </row>
    <row r="188" spans="1:5">
      <c r="A188" s="23"/>
      <c r="B188" s="23"/>
      <c r="C188" s="22"/>
      <c r="D188" s="22"/>
      <c r="E188" s="22"/>
    </row>
    <row r="189" spans="1:5">
      <c r="A189" s="23"/>
      <c r="B189" s="23"/>
      <c r="C189" s="22"/>
      <c r="D189" s="22"/>
      <c r="E189" s="22"/>
    </row>
    <row r="190" spans="1:5">
      <c r="A190" s="23"/>
      <c r="B190" s="23"/>
      <c r="C190" s="22"/>
      <c r="D190" s="22"/>
      <c r="E190" s="22"/>
    </row>
    <row r="191" spans="1:5">
      <c r="A191" s="23"/>
      <c r="B191" s="23"/>
      <c r="C191" s="22"/>
      <c r="D191" s="22"/>
      <c r="E191" s="22"/>
    </row>
    <row r="192" spans="1:5">
      <c r="A192" s="23"/>
      <c r="B192" s="23"/>
      <c r="C192" s="22"/>
      <c r="D192" s="22"/>
      <c r="E192" s="22"/>
    </row>
    <row r="193" spans="1:5">
      <c r="A193" s="23"/>
      <c r="B193" s="23"/>
      <c r="C193" s="22"/>
      <c r="D193" s="22"/>
      <c r="E193" s="22"/>
    </row>
    <row r="194" spans="1:5">
      <c r="A194" s="23"/>
      <c r="B194" s="23"/>
      <c r="C194" s="22"/>
      <c r="D194" s="22"/>
      <c r="E194" s="22"/>
    </row>
    <row r="195" spans="1:5">
      <c r="A195" s="23"/>
      <c r="B195" s="23"/>
      <c r="C195" s="22"/>
      <c r="D195" s="22"/>
      <c r="E195" s="22"/>
    </row>
    <row r="196" spans="1:5">
      <c r="A196" s="23"/>
      <c r="B196" s="23"/>
      <c r="C196" s="22"/>
      <c r="D196" s="22"/>
      <c r="E196" s="22"/>
    </row>
    <row r="197" spans="1:5">
      <c r="A197" s="23"/>
      <c r="B197" s="23"/>
      <c r="C197" s="22"/>
      <c r="D197" s="22"/>
      <c r="E197" s="22"/>
    </row>
    <row r="198" spans="1:5">
      <c r="A198" s="23"/>
      <c r="B198" s="23"/>
      <c r="C198" s="22"/>
      <c r="D198" s="22"/>
      <c r="E198" s="22"/>
    </row>
    <row r="199" spans="1:5">
      <c r="A199" s="23"/>
      <c r="B199" s="23"/>
      <c r="C199" s="22"/>
      <c r="D199" s="22"/>
      <c r="E199" s="22"/>
    </row>
    <row r="418" spans="295:297">
      <c r="KI418" s="17" t="s">
        <v>97</v>
      </c>
      <c r="KJ418" s="17" t="s">
        <v>98</v>
      </c>
      <c r="KK418" s="17" t="s">
        <v>99</v>
      </c>
    </row>
    <row r="419" spans="295:297">
      <c r="KJ419" s="17" t="s">
        <v>100</v>
      </c>
      <c r="KK419" s="17">
        <v>44.17</v>
      </c>
    </row>
    <row r="420" spans="295:297">
      <c r="KJ420" s="17" t="s">
        <v>101</v>
      </c>
      <c r="KK420" s="17">
        <v>55.83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0"/>
  <sheetViews>
    <sheetView zoomScale="92" workbookViewId="0"/>
  </sheetViews>
  <sheetFormatPr defaultColWidth="8.85546875" defaultRowHeight="14.45"/>
  <sheetData>
    <row r="1" spans="1:3">
      <c r="A1" t="s">
        <v>34</v>
      </c>
      <c r="B1" t="s">
        <v>48</v>
      </c>
      <c r="C1" t="s">
        <v>44</v>
      </c>
    </row>
    <row r="2" spans="1:3">
      <c r="A2" t="s">
        <v>102</v>
      </c>
      <c r="B2" t="s">
        <v>43</v>
      </c>
      <c r="C2" t="s">
        <v>103</v>
      </c>
    </row>
    <row r="3" spans="1:3">
      <c r="A3" t="s">
        <v>104</v>
      </c>
      <c r="B3" t="s">
        <v>105</v>
      </c>
      <c r="C3" t="s">
        <v>106</v>
      </c>
    </row>
    <row r="4" spans="1:3">
      <c r="A4" t="s">
        <v>107</v>
      </c>
      <c r="B4" t="s">
        <v>108</v>
      </c>
      <c r="C4" t="s">
        <v>109</v>
      </c>
    </row>
    <row r="5" spans="1:3">
      <c r="B5" t="s">
        <v>110</v>
      </c>
      <c r="C5" t="s">
        <v>111</v>
      </c>
    </row>
    <row r="6" spans="1:3">
      <c r="B6" t="s">
        <v>112</v>
      </c>
      <c r="C6" t="s">
        <v>113</v>
      </c>
    </row>
    <row r="7" spans="1:3">
      <c r="B7" t="s">
        <v>114</v>
      </c>
      <c r="C7" t="s">
        <v>115</v>
      </c>
    </row>
    <row r="8" spans="1:3">
      <c r="B8" t="s">
        <v>116</v>
      </c>
      <c r="C8" t="s">
        <v>117</v>
      </c>
    </row>
    <row r="9" spans="1:3">
      <c r="B9" t="s">
        <v>118</v>
      </c>
    </row>
    <row r="10" spans="1:3">
      <c r="B10" t="s">
        <v>119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C6502B-BA1C-4699-85A5-A4FD478107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2025-09-22T07:20:25Z</dcterms:created>
  <dcterms:modified xsi:type="dcterms:W3CDTF">2026-02-17T20:10:28Z</dcterms:modified>
  <cp:category/>
  <cp:contentStatus/>
</cp:coreProperties>
</file>