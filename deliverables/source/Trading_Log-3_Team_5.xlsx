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codeName="ThisWorkbook" defaultThemeVersion="124226"/>
  <mc:AlternateContent xmlns:mc="http://schemas.openxmlformats.org/markup-compatibility/2006">
    <mc:Choice Requires="x15">
      <x15ac:absPath xmlns:x15ac="http://schemas.microsoft.com/office/spreadsheetml/2010/11/ac" url="https://hultstudents-my.sharepoint.com/personal/kjharwal_student_hult_edu/Documents/"/>
    </mc:Choice>
  </mc:AlternateContent>
  <xr:revisionPtr revIDLastSave="0" documentId="8_{F34FBC46-8138-42CC-9E90-E839185A459B}" xr6:coauthVersionLast="47" xr6:coauthVersionMax="47" xr10:uidLastSave="{00000000-0000-0000-0000-000000000000}"/>
  <bookViews>
    <workbookView xWindow="-108" yWindow="-108" windowWidth="23256" windowHeight="12456" firstSheet="4" activeTab="4" xr2:uid="{00000000-000D-0000-FFFF-FFFF00000000}"/>
  </bookViews>
  <sheets>
    <sheet name="READ ME" sheetId="4" state="hidden" r:id="rId1"/>
    <sheet name="Cover" sheetId="7" r:id="rId2"/>
    <sheet name="Trading Log" sheetId="1" r:id="rId3"/>
    <sheet name="Live Data" sheetId="9" r:id="rId4"/>
    <sheet name="Periodic Reflection" sheetId="6" r:id="rId5"/>
    <sheet name="Cover (2)" sheetId="8" state="hidden" r:id="rId6"/>
    <sheet name="VALIDATION_LISTS" sheetId="5" state="hidden" r:id="rId7"/>
  </sheets>
  <definedNames>
    <definedName name="ExternalData_1" localSheetId="4">'Periodic Reflection'!$KJ$418:$KK$420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9" l="1" a="1"/>
  <c r="D19" i="9" s="1"/>
  <c r="E19" i="9" a="1"/>
  <c r="E19" i="9" s="1"/>
  <c r="F19" i="9" a="1"/>
  <c r="F19" i="9" s="1"/>
  <c r="G19" i="9" a="1"/>
  <c r="G19" i="9" s="1"/>
  <c r="H19" i="9" a="1"/>
  <c r="H19" i="9" s="1"/>
  <c r="I19" i="9" a="1"/>
  <c r="I19" i="9" s="1"/>
  <c r="J19" i="9" a="1"/>
  <c r="J19" i="9" s="1"/>
  <c r="K19" i="9" a="1"/>
  <c r="K19" i="9" s="1"/>
  <c r="L19" i="9" a="1"/>
  <c r="L19" i="9" s="1"/>
  <c r="M19" i="9" a="1"/>
  <c r="M19" i="9" s="1"/>
  <c r="N19" i="9" a="1"/>
  <c r="N19" i="9" s="1"/>
  <c r="O19" i="9" a="1"/>
  <c r="O19" i="9" s="1"/>
  <c r="P19" i="9" a="1"/>
  <c r="P19" i="9" s="1"/>
  <c r="Q19" i="9" a="1"/>
  <c r="Q19" i="9" s="1"/>
  <c r="R19" i="9" a="1"/>
  <c r="R19" i="9" s="1"/>
  <c r="D20" i="9" a="1"/>
  <c r="D20" i="9" s="1"/>
  <c r="E20" i="9" a="1"/>
  <c r="E20" i="9" s="1"/>
  <c r="F20" i="9" a="1"/>
  <c r="F20" i="9" s="1"/>
  <c r="G20" i="9" a="1"/>
  <c r="G20" i="9" s="1"/>
  <c r="H20" i="9" a="1"/>
  <c r="H20" i="9" s="1"/>
  <c r="I20" i="9" a="1"/>
  <c r="I20" i="9" s="1"/>
  <c r="J20" i="9" a="1"/>
  <c r="J20" i="9" s="1"/>
  <c r="K20" i="9" a="1"/>
  <c r="K20" i="9" s="1"/>
  <c r="L20" i="9" a="1"/>
  <c r="L20" i="9" s="1"/>
  <c r="M20" i="9" a="1"/>
  <c r="M20" i="9" s="1"/>
  <c r="N20" i="9" a="1"/>
  <c r="N20" i="9" s="1"/>
  <c r="O20" i="9" a="1"/>
  <c r="O20" i="9" s="1"/>
  <c r="P20" i="9" a="1"/>
  <c r="P20" i="9" s="1"/>
  <c r="Q20" i="9" a="1"/>
  <c r="Q20" i="9" s="1"/>
  <c r="R20" i="9" a="1"/>
  <c r="R20" i="9" s="1"/>
  <c r="D21" i="9" a="1"/>
  <c r="D21" i="9" s="1"/>
  <c r="E21" i="9" a="1"/>
  <c r="E21" i="9" s="1"/>
  <c r="F21" i="9" a="1"/>
  <c r="F21" i="9" s="1"/>
  <c r="G21" i="9" a="1"/>
  <c r="G21" i="9" s="1"/>
  <c r="H21" i="9" a="1"/>
  <c r="H21" i="9" s="1"/>
  <c r="I21" i="9" a="1"/>
  <c r="I21" i="9" s="1"/>
  <c r="J21" i="9" a="1"/>
  <c r="J21" i="9" s="1"/>
  <c r="K21" i="9" a="1"/>
  <c r="K21" i="9" s="1"/>
  <c r="L21" i="9" a="1"/>
  <c r="L21" i="9" s="1"/>
  <c r="M21" i="9" a="1"/>
  <c r="M21" i="9" s="1"/>
  <c r="N21" i="9" a="1"/>
  <c r="N21" i="9" s="1"/>
  <c r="O21" i="9" a="1"/>
  <c r="O21" i="9" s="1"/>
  <c r="P21" i="9" a="1"/>
  <c r="P21" i="9" s="1"/>
  <c r="Q21" i="9" a="1"/>
  <c r="Q21" i="9" s="1"/>
  <c r="R21" i="9" a="1"/>
  <c r="R21" i="9" s="1"/>
  <c r="D22" i="9" a="1"/>
  <c r="D22" i="9" s="1"/>
  <c r="E22" i="9" a="1"/>
  <c r="E22" i="9" s="1"/>
  <c r="F22" i="9" a="1"/>
  <c r="F22" i="9" s="1"/>
  <c r="G22" i="9" a="1"/>
  <c r="G22" i="9" s="1"/>
  <c r="H22" i="9" a="1"/>
  <c r="H22" i="9" s="1"/>
  <c r="I22" i="9" a="1"/>
  <c r="I22" i="9" s="1"/>
  <c r="J22" i="9" a="1"/>
  <c r="J22" i="9" s="1"/>
  <c r="K22" i="9" a="1"/>
  <c r="K22" i="9" s="1"/>
  <c r="L22" i="9" a="1"/>
  <c r="L22" i="9" s="1"/>
  <c r="M22" i="9" a="1"/>
  <c r="M22" i="9" s="1"/>
  <c r="N22" i="9" a="1"/>
  <c r="N22" i="9" s="1"/>
  <c r="O22" i="9" a="1"/>
  <c r="O22" i="9" s="1"/>
  <c r="P22" i="9" a="1"/>
  <c r="P22" i="9" s="1"/>
  <c r="Q22" i="9" a="1"/>
  <c r="Q22" i="9" s="1"/>
  <c r="R22" i="9" a="1"/>
  <c r="R22" i="9" s="1"/>
  <c r="D23" i="9" a="1"/>
  <c r="D23" i="9" s="1"/>
  <c r="E23" i="9" a="1"/>
  <c r="E23" i="9" s="1"/>
  <c r="F23" i="9" a="1"/>
  <c r="F23" i="9" s="1"/>
  <c r="G23" i="9" a="1"/>
  <c r="G23" i="9" s="1"/>
  <c r="H23" i="9" a="1"/>
  <c r="H23" i="9" s="1"/>
  <c r="I23" i="9" a="1"/>
  <c r="I23" i="9" s="1"/>
  <c r="J23" i="9" a="1"/>
  <c r="J23" i="9" s="1"/>
  <c r="K23" i="9" a="1"/>
  <c r="K23" i="9" s="1"/>
  <c r="L23" i="9" a="1"/>
  <c r="L23" i="9" s="1"/>
  <c r="M23" i="9" a="1"/>
  <c r="M23" i="9" s="1"/>
  <c r="N23" i="9" a="1"/>
  <c r="N23" i="9" s="1"/>
  <c r="O23" i="9" a="1"/>
  <c r="O23" i="9" s="1"/>
  <c r="P23" i="9" a="1"/>
  <c r="P23" i="9" s="1"/>
  <c r="Q23" i="9" a="1"/>
  <c r="Q23" i="9" s="1"/>
  <c r="R23" i="9" a="1"/>
  <c r="R23" i="9" s="1"/>
  <c r="D24" i="9" a="1"/>
  <c r="D24" i="9" s="1"/>
  <c r="E24" i="9" a="1"/>
  <c r="E24" i="9" s="1"/>
  <c r="F24" i="9" a="1"/>
  <c r="F24" i="9" s="1"/>
  <c r="G24" i="9" a="1"/>
  <c r="G24" i="9" s="1"/>
  <c r="H24" i="9" a="1"/>
  <c r="H24" i="9" s="1"/>
  <c r="I24" i="9" a="1"/>
  <c r="I24" i="9" s="1"/>
  <c r="J24" i="9" a="1"/>
  <c r="J24" i="9" s="1"/>
  <c r="K24" i="9" a="1"/>
  <c r="K24" i="9" s="1"/>
  <c r="L24" i="9" a="1"/>
  <c r="L24" i="9" s="1"/>
  <c r="M24" i="9" a="1"/>
  <c r="M24" i="9" s="1"/>
  <c r="N24" i="9" a="1"/>
  <c r="N24" i="9" s="1"/>
  <c r="O24" i="9" a="1"/>
  <c r="O24" i="9" s="1"/>
  <c r="P24" i="9" a="1"/>
  <c r="P24" i="9" s="1"/>
  <c r="Q24" i="9" a="1"/>
  <c r="Q24" i="9" s="1"/>
  <c r="R24" i="9" a="1"/>
  <c r="R24" i="9" s="1"/>
  <c r="D25" i="9" a="1"/>
  <c r="D25" i="9" s="1"/>
  <c r="E25" i="9" a="1"/>
  <c r="E25" i="9" s="1"/>
  <c r="F25" i="9" a="1"/>
  <c r="F25" i="9" s="1"/>
  <c r="G25" i="9" a="1"/>
  <c r="G25" i="9" s="1"/>
  <c r="H25" i="9" a="1"/>
  <c r="H25" i="9" s="1"/>
  <c r="I25" i="9" a="1"/>
  <c r="I25" i="9" s="1"/>
  <c r="J25" i="9" a="1"/>
  <c r="J25" i="9" s="1"/>
  <c r="K25" i="9" a="1"/>
  <c r="K25" i="9" s="1"/>
  <c r="L25" i="9" a="1"/>
  <c r="L25" i="9" s="1"/>
  <c r="M25" i="9" a="1"/>
  <c r="M25" i="9" s="1"/>
  <c r="N25" i="9" a="1"/>
  <c r="N25" i="9" s="1"/>
  <c r="O25" i="9" a="1"/>
  <c r="O25" i="9" s="1"/>
  <c r="P25" i="9" a="1"/>
  <c r="P25" i="9" s="1"/>
  <c r="Q25" i="9" a="1"/>
  <c r="Q25" i="9" s="1"/>
  <c r="R25" i="9" a="1"/>
  <c r="R25" i="9" s="1"/>
  <c r="I36" i="1"/>
  <c r="K36" i="1" s="1"/>
  <c r="K68" i="1" s="1"/>
  <c r="O44" i="1"/>
  <c r="R18" i="9" a="1"/>
  <c r="R18" i="9" s="1"/>
  <c r="Q18" i="9" a="1"/>
  <c r="Q18" i="9" s="1"/>
  <c r="P18" i="9" a="1"/>
  <c r="P18" i="9" s="1"/>
  <c r="O18" i="9" a="1"/>
  <c r="O18" i="9" s="1"/>
  <c r="N18" i="9" a="1"/>
  <c r="N18" i="9" s="1"/>
  <c r="M18" i="9" a="1"/>
  <c r="M18" i="9" s="1"/>
  <c r="L18" i="9" a="1"/>
  <c r="L18" i="9" s="1"/>
  <c r="K18" i="9" a="1"/>
  <c r="K18" i="9" s="1"/>
  <c r="J18" i="9" a="1"/>
  <c r="J18" i="9" s="1"/>
  <c r="I18" i="9" a="1"/>
  <c r="I18" i="9" s="1"/>
  <c r="H18" i="9" a="1"/>
  <c r="H18" i="9" s="1"/>
  <c r="G18" i="9" a="1"/>
  <c r="G18" i="9" s="1"/>
  <c r="F18" i="9" a="1"/>
  <c r="F18" i="9" s="1"/>
  <c r="E18" i="9" a="1"/>
  <c r="E18" i="9" s="1"/>
  <c r="D18" i="9" a="1"/>
  <c r="D18" i="9" s="1"/>
  <c r="B18" i="9" a="1"/>
  <c r="B18" i="9" s="1"/>
  <c r="R17" i="9" a="1"/>
  <c r="R17" i="9" s="1"/>
  <c r="Q17" i="9" a="1"/>
  <c r="Q17" i="9" s="1"/>
  <c r="P17" i="9" a="1"/>
  <c r="P17" i="9" s="1"/>
  <c r="O17" i="9" a="1"/>
  <c r="O17" i="9" s="1"/>
  <c r="N17" i="9" a="1"/>
  <c r="N17" i="9" s="1"/>
  <c r="M17" i="9" a="1"/>
  <c r="M17" i="9" s="1"/>
  <c r="L17" i="9" a="1"/>
  <c r="L17" i="9" s="1"/>
  <c r="K17" i="9" a="1"/>
  <c r="K17" i="9" s="1"/>
  <c r="J17" i="9" a="1"/>
  <c r="J17" i="9" s="1"/>
  <c r="I17" i="9" a="1"/>
  <c r="I17" i="9" s="1"/>
  <c r="H17" i="9" a="1"/>
  <c r="H17" i="9" s="1"/>
  <c r="G17" i="9" a="1"/>
  <c r="G17" i="9" s="1"/>
  <c r="F17" i="9" a="1"/>
  <c r="F17" i="9" s="1"/>
  <c r="E17" i="9" a="1"/>
  <c r="E17" i="9" s="1"/>
  <c r="D17" i="9" a="1"/>
  <c r="D17" i="9" s="1"/>
  <c r="B17" i="9" a="1"/>
  <c r="B17" i="9" s="1"/>
  <c r="R16" i="9" a="1"/>
  <c r="R16" i="9" s="1"/>
  <c r="Q16" i="9" a="1"/>
  <c r="Q16" i="9" s="1"/>
  <c r="P16" i="9" a="1"/>
  <c r="P16" i="9" s="1"/>
  <c r="O16" i="9" a="1"/>
  <c r="O16" i="9" s="1"/>
  <c r="N16" i="9" a="1"/>
  <c r="N16" i="9" s="1"/>
  <c r="M16" i="9" a="1"/>
  <c r="M16" i="9" s="1"/>
  <c r="L16" i="9" a="1"/>
  <c r="L16" i="9" s="1"/>
  <c r="K16" i="9" a="1"/>
  <c r="K16" i="9" s="1"/>
  <c r="J16" i="9" a="1"/>
  <c r="J16" i="9" s="1"/>
  <c r="I16" i="9" a="1"/>
  <c r="I16" i="9" s="1"/>
  <c r="H16" i="9" a="1"/>
  <c r="H16" i="9" s="1"/>
  <c r="G16" i="9" a="1"/>
  <c r="G16" i="9" s="1"/>
  <c r="F16" i="9" a="1"/>
  <c r="F16" i="9" s="1"/>
  <c r="E16" i="9" a="1"/>
  <c r="E16" i="9" s="1"/>
  <c r="D16" i="9" a="1"/>
  <c r="D16" i="9" s="1"/>
  <c r="B16" i="9" a="1"/>
  <c r="B16" i="9" s="1"/>
  <c r="R15" i="9" a="1"/>
  <c r="R15" i="9" s="1"/>
  <c r="Q15" i="9" a="1"/>
  <c r="Q15" i="9" s="1"/>
  <c r="P15" i="9" a="1"/>
  <c r="P15" i="9" s="1"/>
  <c r="O15" i="9" a="1"/>
  <c r="O15" i="9" s="1"/>
  <c r="N15" i="9" a="1"/>
  <c r="N15" i="9" s="1"/>
  <c r="M15" i="9" a="1"/>
  <c r="M15" i="9" s="1"/>
  <c r="L15" i="9" a="1"/>
  <c r="L15" i="9" s="1"/>
  <c r="K15" i="9" a="1"/>
  <c r="K15" i="9" s="1"/>
  <c r="J15" i="9" a="1"/>
  <c r="J15" i="9" s="1"/>
  <c r="I15" i="9" a="1"/>
  <c r="I15" i="9" s="1"/>
  <c r="H15" i="9" a="1"/>
  <c r="H15" i="9" s="1"/>
  <c r="G15" i="9" a="1"/>
  <c r="G15" i="9" s="1"/>
  <c r="F15" i="9" a="1"/>
  <c r="F15" i="9" s="1"/>
  <c r="E15" i="9" a="1"/>
  <c r="E15" i="9" s="1"/>
  <c r="D15" i="9" a="1"/>
  <c r="D15" i="9" s="1"/>
  <c r="B15" i="9" a="1"/>
  <c r="B15" i="9" s="1"/>
  <c r="R14" i="9" a="1"/>
  <c r="R14" i="9" s="1"/>
  <c r="Q14" i="9" a="1"/>
  <c r="Q14" i="9" s="1"/>
  <c r="P14" i="9" a="1"/>
  <c r="P14" i="9" s="1"/>
  <c r="O14" i="9" a="1"/>
  <c r="O14" i="9" s="1"/>
  <c r="N14" i="9" a="1"/>
  <c r="N14" i="9" s="1"/>
  <c r="M14" i="9" a="1"/>
  <c r="M14" i="9" s="1"/>
  <c r="L14" i="9" a="1"/>
  <c r="L14" i="9" s="1"/>
  <c r="K14" i="9" a="1"/>
  <c r="K14" i="9" s="1"/>
  <c r="J14" i="9" a="1"/>
  <c r="J14" i="9" s="1"/>
  <c r="I14" i="9" a="1"/>
  <c r="I14" i="9" s="1"/>
  <c r="H14" i="9" a="1"/>
  <c r="H14" i="9" s="1"/>
  <c r="G14" i="9" a="1"/>
  <c r="G14" i="9" s="1"/>
  <c r="F14" i="9" a="1"/>
  <c r="F14" i="9" s="1"/>
  <c r="E14" i="9" a="1"/>
  <c r="E14" i="9" s="1"/>
  <c r="D14" i="9" a="1"/>
  <c r="D14" i="9" s="1"/>
  <c r="B14" i="9" a="1"/>
  <c r="B14" i="9" s="1"/>
  <c r="R13" i="9" a="1"/>
  <c r="R13" i="9" s="1"/>
  <c r="Q13" i="9" a="1"/>
  <c r="Q13" i="9" s="1"/>
  <c r="P13" i="9" a="1"/>
  <c r="P13" i="9" s="1"/>
  <c r="O13" i="9" a="1"/>
  <c r="O13" i="9" s="1"/>
  <c r="N13" i="9" a="1"/>
  <c r="N13" i="9" s="1"/>
  <c r="M13" i="9" a="1"/>
  <c r="M13" i="9" s="1"/>
  <c r="L13" i="9" a="1"/>
  <c r="L13" i="9" s="1"/>
  <c r="K13" i="9" a="1"/>
  <c r="K13" i="9" s="1"/>
  <c r="J13" i="9" a="1"/>
  <c r="J13" i="9" s="1"/>
  <c r="I13" i="9" a="1"/>
  <c r="I13" i="9" s="1"/>
  <c r="H13" i="9" a="1"/>
  <c r="H13" i="9" s="1"/>
  <c r="G13" i="9" a="1"/>
  <c r="G13" i="9" s="1"/>
  <c r="F13" i="9" a="1"/>
  <c r="F13" i="9" s="1"/>
  <c r="E13" i="9" a="1"/>
  <c r="E13" i="9" s="1"/>
  <c r="D13" i="9" a="1"/>
  <c r="D13" i="9" s="1"/>
  <c r="B13" i="9" a="1"/>
  <c r="B13" i="9" s="1"/>
  <c r="R12" i="9" a="1"/>
  <c r="R12" i="9" s="1"/>
  <c r="Q12" i="9" a="1"/>
  <c r="Q12" i="9" s="1"/>
  <c r="P12" i="9" a="1"/>
  <c r="P12" i="9" s="1"/>
  <c r="O12" i="9" a="1"/>
  <c r="O12" i="9" s="1"/>
  <c r="N12" i="9" a="1"/>
  <c r="N12" i="9" s="1"/>
  <c r="M12" i="9" a="1"/>
  <c r="M12" i="9" s="1"/>
  <c r="L12" i="9" a="1"/>
  <c r="L12" i="9" s="1"/>
  <c r="K12" i="9" a="1"/>
  <c r="K12" i="9" s="1"/>
  <c r="J12" i="9" a="1"/>
  <c r="J12" i="9" s="1"/>
  <c r="I12" i="9" a="1"/>
  <c r="I12" i="9" s="1"/>
  <c r="H12" i="9" a="1"/>
  <c r="H12" i="9" s="1"/>
  <c r="G12" i="9" a="1"/>
  <c r="G12" i="9" s="1"/>
  <c r="F12" i="9" a="1"/>
  <c r="F12" i="9" s="1"/>
  <c r="E12" i="9" a="1"/>
  <c r="E12" i="9" s="1"/>
  <c r="D12" i="9" a="1"/>
  <c r="D12" i="9" s="1"/>
  <c r="B12" i="9" a="1"/>
  <c r="B12" i="9" s="1"/>
  <c r="R11" i="9" a="1"/>
  <c r="R11" i="9" s="1"/>
  <c r="Q11" i="9" a="1"/>
  <c r="Q11" i="9" s="1"/>
  <c r="P11" i="9" a="1"/>
  <c r="P11" i="9" s="1"/>
  <c r="O11" i="9" a="1"/>
  <c r="O11" i="9" s="1"/>
  <c r="N11" i="9" a="1"/>
  <c r="N11" i="9" s="1"/>
  <c r="M11" i="9" a="1"/>
  <c r="M11" i="9" s="1"/>
  <c r="L11" i="9" a="1"/>
  <c r="L11" i="9" s="1"/>
  <c r="K11" i="9" a="1"/>
  <c r="K11" i="9" s="1"/>
  <c r="J11" i="9" a="1"/>
  <c r="J11" i="9" s="1"/>
  <c r="I11" i="9" a="1"/>
  <c r="I11" i="9" s="1"/>
  <c r="H11" i="9" a="1"/>
  <c r="H11" i="9" s="1"/>
  <c r="G11" i="9" a="1"/>
  <c r="G11" i="9" s="1"/>
  <c r="F11" i="9" a="1"/>
  <c r="F11" i="9" s="1"/>
  <c r="E11" i="9" a="1"/>
  <c r="E11" i="9" s="1"/>
  <c r="D11" i="9" a="1"/>
  <c r="D11" i="9" s="1"/>
  <c r="B11" i="9" a="1"/>
  <c r="B11" i="9" s="1"/>
  <c r="R10" i="9" a="1"/>
  <c r="R10" i="9" s="1"/>
  <c r="Q10" i="9" a="1"/>
  <c r="Q10" i="9" s="1"/>
  <c r="P10" i="9" a="1"/>
  <c r="P10" i="9" s="1"/>
  <c r="O10" i="9" a="1"/>
  <c r="O10" i="9" s="1"/>
  <c r="N10" i="9" a="1"/>
  <c r="N10" i="9" s="1"/>
  <c r="M10" i="9" a="1"/>
  <c r="M10" i="9" s="1"/>
  <c r="L10" i="9" a="1"/>
  <c r="L10" i="9" s="1"/>
  <c r="K10" i="9" a="1"/>
  <c r="K10" i="9" s="1"/>
  <c r="J10" i="9" a="1"/>
  <c r="J10" i="9" s="1"/>
  <c r="I10" i="9" a="1"/>
  <c r="I10" i="9" s="1"/>
  <c r="H10" i="9" a="1"/>
  <c r="H10" i="9" s="1"/>
  <c r="G10" i="9" a="1"/>
  <c r="G10" i="9" s="1"/>
  <c r="F10" i="9" a="1"/>
  <c r="F10" i="9" s="1"/>
  <c r="E10" i="9" a="1"/>
  <c r="E10" i="9" s="1"/>
  <c r="D10" i="9" a="1"/>
  <c r="D10" i="9" s="1"/>
  <c r="B10" i="9" a="1"/>
  <c r="B10" i="9" s="1"/>
  <c r="R9" i="9" a="1"/>
  <c r="R9" i="9" s="1"/>
  <c r="Q9" i="9" a="1"/>
  <c r="Q9" i="9" s="1"/>
  <c r="P9" i="9" a="1"/>
  <c r="P9" i="9" s="1"/>
  <c r="O9" i="9" a="1"/>
  <c r="O9" i="9" s="1"/>
  <c r="N9" i="9" a="1"/>
  <c r="N9" i="9" s="1"/>
  <c r="M9" i="9" a="1"/>
  <c r="M9" i="9" s="1"/>
  <c r="L9" i="9" a="1"/>
  <c r="L9" i="9" s="1"/>
  <c r="K9" i="9" a="1"/>
  <c r="K9" i="9" s="1"/>
  <c r="J9" i="9" a="1"/>
  <c r="J9" i="9" s="1"/>
  <c r="I9" i="9" a="1"/>
  <c r="I9" i="9" s="1"/>
  <c r="H9" i="9" a="1"/>
  <c r="H9" i="9" s="1"/>
  <c r="G9" i="9" a="1"/>
  <c r="G9" i="9" s="1"/>
  <c r="F9" i="9" a="1"/>
  <c r="F9" i="9" s="1"/>
  <c r="E9" i="9" a="1"/>
  <c r="E9" i="9" s="1"/>
  <c r="D9" i="9" a="1"/>
  <c r="D9" i="9" s="1"/>
  <c r="B9" i="9" a="1"/>
  <c r="B9" i="9" s="1"/>
  <c r="R8" i="9" a="1"/>
  <c r="R8" i="9" s="1"/>
  <c r="Q8" i="9" a="1"/>
  <c r="Q8" i="9" s="1"/>
  <c r="P8" i="9" a="1"/>
  <c r="P8" i="9" s="1"/>
  <c r="O8" i="9" a="1"/>
  <c r="O8" i="9" s="1"/>
  <c r="N8" i="9" a="1"/>
  <c r="N8" i="9" s="1"/>
  <c r="M8" i="9" a="1"/>
  <c r="M8" i="9" s="1"/>
  <c r="L8" i="9" a="1"/>
  <c r="L8" i="9" s="1"/>
  <c r="K8" i="9" a="1"/>
  <c r="K8" i="9" s="1"/>
  <c r="J8" i="9" a="1"/>
  <c r="J8" i="9" s="1"/>
  <c r="I8" i="9" a="1"/>
  <c r="I8" i="9" s="1"/>
  <c r="H8" i="9" a="1"/>
  <c r="H8" i="9" s="1"/>
  <c r="G8" i="9" a="1"/>
  <c r="G8" i="9" s="1"/>
  <c r="F8" i="9" a="1"/>
  <c r="F8" i="9" s="1"/>
  <c r="E8" i="9" a="1"/>
  <c r="E8" i="9" s="1"/>
  <c r="D8" i="9" a="1"/>
  <c r="D8" i="9" s="1"/>
  <c r="B8" i="9" a="1"/>
  <c r="B8" i="9" s="1"/>
  <c r="R7" i="9" a="1"/>
  <c r="R7" i="9" s="1"/>
  <c r="Q7" i="9" a="1"/>
  <c r="Q7" i="9" s="1"/>
  <c r="P7" i="9" a="1"/>
  <c r="P7" i="9" s="1"/>
  <c r="O7" i="9" a="1"/>
  <c r="O7" i="9" s="1"/>
  <c r="N7" i="9" a="1"/>
  <c r="N7" i="9" s="1"/>
  <c r="M7" i="9" a="1"/>
  <c r="M7" i="9" s="1"/>
  <c r="L7" i="9" a="1"/>
  <c r="L7" i="9" s="1"/>
  <c r="K7" i="9" a="1"/>
  <c r="K7" i="9" s="1"/>
  <c r="J7" i="9" a="1"/>
  <c r="J7" i="9" s="1"/>
  <c r="I7" i="9" a="1"/>
  <c r="I7" i="9" s="1"/>
  <c r="H7" i="9" a="1"/>
  <c r="H7" i="9" s="1"/>
  <c r="G7" i="9" a="1"/>
  <c r="G7" i="9" s="1"/>
  <c r="F7" i="9" a="1"/>
  <c r="F7" i="9" s="1"/>
  <c r="E7" i="9" a="1"/>
  <c r="E7" i="9" s="1"/>
  <c r="D7" i="9" a="1"/>
  <c r="D7" i="9" s="1"/>
  <c r="B7" i="9" a="1"/>
  <c r="B7" i="9" s="1"/>
  <c r="R6" i="9" a="1"/>
  <c r="R6" i="9" s="1"/>
  <c r="Q6" i="9" a="1"/>
  <c r="Q6" i="9" s="1"/>
  <c r="P6" i="9" a="1"/>
  <c r="P6" i="9" s="1"/>
  <c r="O6" i="9" a="1"/>
  <c r="O6" i="9" s="1"/>
  <c r="N6" i="9" a="1"/>
  <c r="N6" i="9" s="1"/>
  <c r="M6" i="9" a="1"/>
  <c r="M6" i="9" s="1"/>
  <c r="L6" i="9" a="1"/>
  <c r="L6" i="9" s="1"/>
  <c r="K6" i="9" a="1"/>
  <c r="K6" i="9" s="1"/>
  <c r="J6" i="9" a="1"/>
  <c r="J6" i="9" s="1"/>
  <c r="I6" i="9" a="1"/>
  <c r="I6" i="9" s="1"/>
  <c r="H6" i="9" a="1"/>
  <c r="H6" i="9" s="1"/>
  <c r="G6" i="9" a="1"/>
  <c r="G6" i="9" s="1"/>
  <c r="F6" i="9" a="1"/>
  <c r="F6" i="9" s="1"/>
  <c r="E6" i="9" a="1"/>
  <c r="E6" i="9" s="1"/>
  <c r="D6" i="9" a="1"/>
  <c r="D6" i="9" s="1"/>
  <c r="B6" i="9" a="1"/>
  <c r="B6" i="9" s="1"/>
  <c r="R5" i="9" a="1"/>
  <c r="R5" i="9" s="1"/>
  <c r="Q5" i="9" a="1"/>
  <c r="Q5" i="9" s="1"/>
  <c r="P5" i="9" a="1"/>
  <c r="P5" i="9" s="1"/>
  <c r="O5" i="9" a="1"/>
  <c r="O5" i="9" s="1"/>
  <c r="N5" i="9" a="1"/>
  <c r="N5" i="9" s="1"/>
  <c r="M5" i="9" a="1"/>
  <c r="M5" i="9" s="1"/>
  <c r="L5" i="9" a="1"/>
  <c r="L5" i="9" s="1"/>
  <c r="K5" i="9" a="1"/>
  <c r="K5" i="9" s="1"/>
  <c r="J5" i="9" a="1"/>
  <c r="J5" i="9" s="1"/>
  <c r="I5" i="9" a="1"/>
  <c r="I5" i="9" s="1"/>
  <c r="H5" i="9" a="1"/>
  <c r="H5" i="9" s="1"/>
  <c r="G5" i="9" a="1"/>
  <c r="G5" i="9" s="1"/>
  <c r="F5" i="9" a="1"/>
  <c r="F5" i="9" s="1"/>
  <c r="E5" i="9" a="1"/>
  <c r="E5" i="9" s="1"/>
  <c r="D5" i="9" a="1"/>
  <c r="D5" i="9" s="1"/>
  <c r="B5" i="9" a="1"/>
  <c r="B5" i="9" s="1"/>
  <c r="R4" i="9" a="1"/>
  <c r="R4" i="9" s="1"/>
  <c r="Q4" i="9" a="1"/>
  <c r="Q4" i="9" s="1"/>
  <c r="P4" i="9" a="1"/>
  <c r="P4" i="9" s="1"/>
  <c r="O4" i="9" a="1"/>
  <c r="O4" i="9" s="1"/>
  <c r="N4" i="9" a="1"/>
  <c r="N4" i="9" s="1"/>
  <c r="M4" i="9" a="1"/>
  <c r="M4" i="9" s="1"/>
  <c r="L4" i="9" a="1"/>
  <c r="L4" i="9" s="1"/>
  <c r="K4" i="9" a="1"/>
  <c r="K4" i="9" s="1"/>
  <c r="J4" i="9" a="1"/>
  <c r="J4" i="9" s="1"/>
  <c r="I4" i="9" a="1"/>
  <c r="I4" i="9" s="1"/>
  <c r="H4" i="9" a="1"/>
  <c r="H4" i="9" s="1"/>
  <c r="G4" i="9" a="1"/>
  <c r="G4" i="9" s="1"/>
  <c r="F4" i="9" a="1"/>
  <c r="F4" i="9" s="1"/>
  <c r="E4" i="9" a="1"/>
  <c r="E4" i="9" s="1"/>
  <c r="D4" i="9" a="1"/>
  <c r="D4" i="9" s="1"/>
  <c r="B4" i="9" a="1"/>
  <c r="B4" i="9" s="1"/>
  <c r="R3" i="9" a="1"/>
  <c r="R3" i="9" s="1"/>
  <c r="Q3" i="9" a="1"/>
  <c r="Q3" i="9" s="1"/>
  <c r="P3" i="9" a="1"/>
  <c r="P3" i="9" s="1"/>
  <c r="O3" i="9" a="1"/>
  <c r="O3" i="9" s="1"/>
  <c r="N3" i="9" a="1"/>
  <c r="N3" i="9" s="1"/>
  <c r="M3" i="9" a="1"/>
  <c r="M3" i="9" s="1"/>
  <c r="L3" i="9" a="1"/>
  <c r="L3" i="9" s="1"/>
  <c r="K3" i="9" a="1"/>
  <c r="K3" i="9" s="1"/>
  <c r="J3" i="9" a="1"/>
  <c r="J3" i="9" s="1"/>
  <c r="I3" i="9" a="1"/>
  <c r="I3" i="9" s="1"/>
  <c r="H3" i="9" a="1"/>
  <c r="H3" i="9" s="1"/>
  <c r="G3" i="9" a="1"/>
  <c r="G3" i="9" s="1"/>
  <c r="F3" i="9" a="1"/>
  <c r="F3" i="9" s="1"/>
  <c r="E3" i="9" a="1"/>
  <c r="E3" i="9" s="1"/>
  <c r="D3" i="9" a="1"/>
  <c r="D3" i="9" s="1"/>
  <c r="B3" i="9" a="1"/>
  <c r="B3" i="9" s="1"/>
  <c r="R2" i="9" a="1"/>
  <c r="R2" i="9" s="1"/>
  <c r="Q2" i="9" a="1"/>
  <c r="Q2" i="9" s="1"/>
  <c r="P2" i="9" a="1"/>
  <c r="P2" i="9" s="1"/>
  <c r="O2" i="9" a="1"/>
  <c r="O2" i="9" s="1"/>
  <c r="N2" i="9" a="1"/>
  <c r="N2" i="9" s="1"/>
  <c r="M2" i="9" a="1"/>
  <c r="M2" i="9" s="1"/>
  <c r="L2" i="9" a="1"/>
  <c r="L2" i="9" s="1"/>
  <c r="K2" i="9" a="1"/>
  <c r="K2" i="9" s="1"/>
  <c r="J2" i="9" a="1"/>
  <c r="J2" i="9" s="1"/>
  <c r="I2" i="9" a="1"/>
  <c r="I2" i="9" s="1"/>
  <c r="H2" i="9" a="1"/>
  <c r="H2" i="9" s="1"/>
  <c r="G2" i="9" a="1"/>
  <c r="G2" i="9" s="1"/>
  <c r="F2" i="9" a="1"/>
  <c r="F2" i="9" s="1"/>
  <c r="E2" i="9" a="1"/>
  <c r="E2" i="9" s="1"/>
  <c r="D2" i="9" a="1"/>
  <c r="D2" i="9" s="1"/>
  <c r="B2" i="9" a="1"/>
  <c r="B2" i="9" s="1"/>
  <c r="K5" i="7"/>
  <c r="I5" i="1"/>
  <c r="K5" i="1" s="1"/>
  <c r="I6" i="1"/>
  <c r="K6" i="1" s="1"/>
  <c r="I7" i="1"/>
  <c r="K7" i="1" s="1"/>
  <c r="I8" i="1"/>
  <c r="K8" i="1" s="1"/>
  <c r="I9" i="1"/>
  <c r="K9" i="1" s="1"/>
  <c r="I10" i="1"/>
  <c r="K10" i="1" s="1"/>
  <c r="I11" i="1"/>
  <c r="K11" i="1" s="1"/>
  <c r="I12" i="1"/>
  <c r="K12" i="1" s="1"/>
  <c r="I13" i="1"/>
  <c r="K13" i="1" s="1"/>
  <c r="I14" i="1"/>
  <c r="K14" i="1" s="1"/>
  <c r="I15" i="1"/>
  <c r="K15" i="1" s="1"/>
  <c r="I16" i="1"/>
  <c r="K16" i="1" s="1"/>
  <c r="I2" i="1"/>
  <c r="K2" i="1" s="1"/>
  <c r="I3" i="1"/>
  <c r="K3" i="1" s="1"/>
  <c r="I4" i="1"/>
  <c r="K4" i="1" s="1"/>
  <c r="I18" i="1"/>
  <c r="K18" i="1" s="1"/>
  <c r="I19" i="1"/>
  <c r="K19" i="1" s="1"/>
  <c r="I20" i="1"/>
  <c r="K20" i="1" s="1"/>
  <c r="I21" i="1"/>
  <c r="K21" i="1" s="1"/>
  <c r="I22" i="1"/>
  <c r="K22" i="1" s="1"/>
  <c r="I23" i="1"/>
  <c r="K23" i="1" s="1"/>
  <c r="I24" i="1"/>
  <c r="K24" i="1" s="1"/>
  <c r="I25" i="1"/>
  <c r="K25" i="1" s="1"/>
  <c r="I26" i="1"/>
  <c r="K26" i="1"/>
  <c r="I27" i="1"/>
  <c r="K27" i="1" s="1"/>
  <c r="I28" i="1"/>
  <c r="K28" i="1" s="1"/>
  <c r="I29" i="1"/>
  <c r="K29" i="1" s="1"/>
  <c r="I30" i="1"/>
  <c r="K30" i="1" s="1"/>
  <c r="I31" i="1"/>
  <c r="K31" i="1" s="1"/>
  <c r="I32" i="1"/>
  <c r="I33" i="1"/>
  <c r="I34" i="1"/>
  <c r="L34" i="1"/>
  <c r="L33" i="1"/>
  <c r="A4" i="6"/>
  <c r="A3" i="6"/>
  <c r="I66" i="1"/>
  <c r="K32" i="1" l="1"/>
  <c r="K33" i="1"/>
  <c r="K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EC89A3-A90B-4CD5-BB38-DEBAB1657A8A}" keepAlive="1" name="Query - attachment;filename=PieChart_assetclass_360651" description="Connection to the 'attachment;filename=PieChart_assetclass_360651' query in the workbook." type="5" refreshedVersion="8" background="1" saveData="1">
    <dbPr connection="Provider=Microsoft.Mashup.OleDb.1;Data Source=$Workbook$;Location=&quot;attachment;filename=PieChart_assetclass_360651&quot;;Extended Properties=&quot;&quot;" command="SELECT * FROM [attachment;filename=PieChart_assetclass_36065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5">
    <bk>
      <extLst>
        <ext uri="{3e2802c4-a4d2-4d8b-9148-e3be6c30e623}">
          <xlrd:rvb i="0"/>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70"/>
        </ext>
      </extLst>
    </bk>
    <bk>
      <extLst>
        <ext uri="{3e2802c4-a4d2-4d8b-9148-e3be6c30e623}">
          <xlrd:rvb i="73"/>
        </ext>
      </extLst>
    </bk>
    <bk>
      <extLst>
        <ext uri="{3e2802c4-a4d2-4d8b-9148-e3be6c30e623}">
          <xlrd:rvb i="76"/>
        </ext>
      </extLst>
    </bk>
  </futureMetadata>
  <futureMetadata name="XLDAPR" count="1">
    <bk>
      <extLst>
        <ext uri="{bdbb8cdc-fa1e-496e-a857-3c3f30c029c3}">
          <xda:dynamicArrayProperties fDynamic="1" fCollapsed="0"/>
        </ext>
      </extLst>
    </bk>
  </futureMetadata>
  <cellMetadata count="1">
    <bk>
      <rc t="2" v="0"/>
    </bk>
  </cellMetadata>
  <valueMetadata count="2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valueMetadata>
</metadata>
</file>

<file path=xl/sharedStrings.xml><?xml version="1.0" encoding="utf-8"?>
<sst xmlns="http://schemas.openxmlformats.org/spreadsheetml/2006/main" count="479" uniqueCount="201">
  <si>
    <t>Instructions</t>
  </si>
  <si>
    <t xml:space="preserve">Trading Log Template (Action-Based)
How to use:
1) Record EVERY action as a new row on the 'Trading Log' sheet:
   • Open: starting a new position
   • Adjust: changing size (Quantity is the change; positive to add, negative to reduce)
   • Close: closing part or all of a position (Quantity = number of units closed)
   • No Action: use once per reporting period if you made no changes; explain why
2) Keep 'Position After Trade' updated so we can see the running position size.
3) Provide a brief reason in the last column (or for 'No Action', a short rationale for holding).
4) Add longer commentary in the 'Explanations' sheet at the end of each reporting period.
Notes:
• 'Gross Trade Value' and 'Net Trade Value' can be formula-based (Qty*Price minus fees) or entered manually.
• Use the drop-downs for 'Action', 'Type', and 'Trade Currency'.
• We are NOT assessing portfolio performance here; the goal is to track decisions and rationale.
• Delete the 'Example (delete)' sheet before submission.
</t>
  </si>
  <si>
    <t>Trading Log</t>
  </si>
  <si>
    <t>-</t>
  </si>
  <si>
    <t>Team 5 Lon 2</t>
  </si>
  <si>
    <t>The Investment Challenge - CHL-0200</t>
  </si>
  <si>
    <t>Abdul Rafay Malik</t>
  </si>
  <si>
    <t>Prof. Daniela Neiderer</t>
  </si>
  <si>
    <t>Aliah Muhammad Asharaf</t>
  </si>
  <si>
    <t>Azriel Fernandes</t>
  </si>
  <si>
    <t>Date:</t>
  </si>
  <si>
    <t>Devarya Shah</t>
  </si>
  <si>
    <t>Kartavya Jharwal</t>
  </si>
  <si>
    <t>Nandini Prakash Rangani</t>
  </si>
  <si>
    <t>Pedro Junqueira</t>
  </si>
  <si>
    <t>Sayhan Mushrif</t>
  </si>
  <si>
    <t>Date (YYYY-MM-DD)</t>
  </si>
  <si>
    <t>Action (Open / Close / Adjust / No Action)</t>
  </si>
  <si>
    <t>Ticker</t>
  </si>
  <si>
    <t>Asset Name</t>
  </si>
  <si>
    <t>Type (Stock, ETF, Bond, FX, etc.)</t>
  </si>
  <si>
    <t>Quantity (positive number)</t>
  </si>
  <si>
    <t>Price per Unit</t>
  </si>
  <si>
    <t>Trade Currency</t>
  </si>
  <si>
    <t>Gross Trade Value (=Qty*Price)</t>
  </si>
  <si>
    <t>Fees / Commission</t>
  </si>
  <si>
    <t>Net Trade Value</t>
  </si>
  <si>
    <t>Position After Trade (units)</t>
  </si>
  <si>
    <t>Brief Reason (or reason for no change)</t>
  </si>
  <si>
    <t>Open</t>
  </si>
  <si>
    <t>SPY</t>
  </si>
  <si>
    <t>SPDR S&amp;P 500 ETF Trust</t>
  </si>
  <si>
    <t>ETF</t>
  </si>
  <si>
    <t>USD</t>
  </si>
  <si>
    <t>Broad exposure to the U.S. market. Core long-term holding.</t>
  </si>
  <si>
    <t>LMT</t>
  </si>
  <si>
    <t>Lockhead Martin Corp</t>
  </si>
  <si>
    <t>Stock</t>
  </si>
  <si>
    <t>Defense company with stable government contracts.</t>
  </si>
  <si>
    <t>XLP</t>
  </si>
  <si>
    <t>Consumer Staples Select Sector SPDR</t>
  </si>
  <si>
    <t>Consumer staples ETF. Defensive and stable.</t>
  </si>
  <si>
    <t>JNJ</t>
  </si>
  <si>
    <t>Johnson &amp; Johnson</t>
  </si>
  <si>
    <t>Healthcare stock. Reliable and defensive.</t>
  </si>
  <si>
    <t>PG</t>
  </si>
  <si>
    <t>Proctor &amp; Gamble Co.</t>
  </si>
  <si>
    <t>Strong global brands. Steady performance.</t>
  </si>
  <si>
    <t>WMT</t>
  </si>
  <si>
    <t>Walmart Inc.</t>
  </si>
  <si>
    <t>Large retailer. Performs well even in slow economies.</t>
  </si>
  <si>
    <t>XLU</t>
  </si>
  <si>
    <t>Utilities Select Sector SPDR</t>
  </si>
  <si>
    <t>Utilities ETF. Low risk and stable returns.</t>
  </si>
  <si>
    <t>TSM</t>
  </si>
  <si>
    <t>Taiwan Semiconductor Manufacturing - ADR</t>
  </si>
  <si>
    <t>AI chip foundry, 30% revenue growth guidance 2026</t>
  </si>
  <si>
    <t>MU</t>
  </si>
  <si>
    <t>Micron Technology Inc.</t>
  </si>
  <si>
    <t>HBM memory for AI data centers, fully booked 2026</t>
  </si>
  <si>
    <t>PLTR</t>
  </si>
  <si>
    <t>Palantir Technologies Inc</t>
  </si>
  <si>
    <t>AI software platform, government defense contracts</t>
  </si>
  <si>
    <t>JPM</t>
  </si>
  <si>
    <t>JPMorgan Chase &amp; Co.</t>
  </si>
  <si>
    <t>Banking sector exposure, diversified financials</t>
  </si>
  <si>
    <t>AMZN</t>
  </si>
  <si>
    <t>Amazon.com Inc.</t>
  </si>
  <si>
    <t>E-commerce leader plus AWS cloud infrastructure</t>
  </si>
  <si>
    <t>GOOGL</t>
  </si>
  <si>
    <t>Alphabet Inc - Class A</t>
  </si>
  <si>
    <t>Big tech AI infrastructure, search and cloud diversification</t>
  </si>
  <si>
    <t>GE</t>
  </si>
  <si>
    <t>GE Aerospace</t>
  </si>
  <si>
    <t>Industrial conglomerate, aerospace and energy exposure</t>
  </si>
  <si>
    <t>IONQ</t>
  </si>
  <si>
    <t>IonQ Inc</t>
  </si>
  <si>
    <t>Quantum computing infrastructure, speculative AI future tech</t>
  </si>
  <si>
    <t>No Action</t>
  </si>
  <si>
    <t>Core benchmark exposure. Portfolio outperforming S&amp;P by +2.00% this period. No thesis change. Stop-loss not required on index position. Hold.</t>
  </si>
  <si>
    <t>Defense spending thesis intact. Up +2.70% since entry. Rising global military budgets support continued upside. Trailing stop placed at 5% to protect gains. Hold.</t>
  </si>
  <si>
    <t>Consumer staples ETF. Minor unrealized loss within normal volatility range. Defensive allocation working as intended during market turbulence. Hold.</t>
  </si>
  <si>
    <t>Healthcare defensive. Stable earnings and dividend profile unchanged. Thesis intact. Hold.</t>
  </si>
  <si>
    <t>FMCG defensive. Strong global brand portfolio and resilient consumer demand thesis confirmed. Hold.</t>
  </si>
  <si>
    <t>Down -5.37%. Retail sector under pressure from consumer spending data. Fundamental thesis (defensive retailer in slow economy) unchanged. Stop-loss placed at $118 to limit further downside. Monitor closely.</t>
  </si>
  <si>
    <t>Utilities ETF. Up +2.71%. Low-beta defensive working as intended in volatile market week. Thesis intact. Hold.</t>
  </si>
  <si>
    <t>AI foundry thesis intact and strengthening. Up +1.68%. 2026 capex guidance and revenue growth forecast unchanged. Hold.</t>
  </si>
  <si>
    <t>HBM memory demand thesis intact. Up +2.97%. AI data center memory demand fully booked 2026. Trailing stop placed at 7% to protect gains. Hold.</t>
  </si>
  <si>
    <t>AI Defense software platform thesis intact. Minor unrealized within acceptable range. Hold.</t>
  </si>
  <si>
    <t>Down -2.98% on rate expectation repricing. Banking fundamentals unchanged. Thesis intact. Hold.</t>
  </si>
  <si>
    <t>AWS cloud and e-commerce thesis intact. Strong cloud infrastructure demand from AI workloads. Hold.</t>
  </si>
  <si>
    <t>Big tech AI infrastructure thesis intact.  Gemini AI momentum and search dominance boost. Trailing stop placed at 7%. Hold.</t>
  </si>
  <si>
    <t>Industrial/aerospace thesis intact. Up +2.90%. Strong commercial aviation and energy infrastructure demand. Trailing stop placed at 5%. Hold.</t>
  </si>
  <si>
    <t>Down -8.39%. Speculative quantum computing position, sized at 2.7% of total portfolio. Long-term thesis unchanged; short-term volatility expected for early-stage tech. Stop-loss placed at $25. Hold.</t>
  </si>
  <si>
    <t>XLE</t>
  </si>
  <si>
    <t>SSgA Active Trust - The Energy Select Sector SPDR</t>
  </si>
  <si>
    <t>Energy sector ETF. Geopolitical risk premium from US-Iran standoff supports near-term oil price. Tactical position</t>
  </si>
  <si>
    <t>XOM</t>
  </si>
  <si>
    <t>Exxon Mobil Corp</t>
  </si>
  <si>
    <t>Integrated oil major. Geopolitical hedging. . Benefits from elevated crude oil and strong margins.</t>
  </si>
  <si>
    <t>Core benchmark exposure. Portfolio outperforming S&amp;P this period. Thesis unchanged; no stop-loss on index. Hold.</t>
  </si>
  <si>
    <t>Consumer staples ETF. Minor unrealized loss within normal range. Defensive allocation working as intended. Hold.</t>
  </si>
  <si>
    <t>Healthcare defensive. Stable earnings and dividend profile unchanged. Hold.</t>
  </si>
  <si>
    <t>Procter &amp; Gamble Co.</t>
  </si>
  <si>
    <t>FMCG defensive. Strong global brands and resilient demand. Hold.</t>
  </si>
  <si>
    <t>Down about 5%. Retail under pressure, but defensive thesis intact. Stop-loss placed at $118. Monitor.</t>
  </si>
  <si>
    <t>Utilities ETF. Low‑beta defensive working during volatility. Hold.</t>
  </si>
  <si>
    <t>Taiwan Semiconductor Manufacturing – ADR</t>
  </si>
  <si>
    <t>AI foundry thesis intact and strengthening. Guidance unchanged. Hold.</t>
  </si>
  <si>
    <t>Adjust</t>
  </si>
  <si>
    <t>Trailing stop-loss on MU triggered; trimmed 95 shares after strong run, kept 15‑share residual for AI memory thesis.</t>
  </si>
  <si>
    <t>Palantir Technologies Inc.</t>
  </si>
  <si>
    <t>AI defense software thesis intact. Volatility within acceptable range. Hold.</t>
  </si>
  <si>
    <t>Slight drawdown on rate repricing. Banking fundamentals unchanged. Hold (before later exit).</t>
  </si>
  <si>
    <t>AWS cloud and e‑commerce thesis intact; AI workloads support demand. Hold.</t>
  </si>
  <si>
    <t>Alphabet Inc – Class A</t>
  </si>
  <si>
    <t>Big tech AI infrastructure thesis intact. Gemini and search dominance support. Trailing stop at 7%. Hold.</t>
  </si>
  <si>
    <t>Industrial/aerospace thesis intact. Up ~3%. Trailing stop at 5% in place prior to trigger. Hold at check‑in.</t>
  </si>
  <si>
    <t>Speculative quantum computing, sized ~2.7% of portfolio. Long‑term thesis; short‑term volatility expected. Hold.</t>
  </si>
  <si>
    <t>Energy Select Sector SPDR</t>
  </si>
  <si>
    <t>Energy ETF. Geopolitical risk premium from US–Iran tensions supports near‑term oil prices. Tactical position.</t>
  </si>
  <si>
    <t>Integrated oil major. Geopolitical hedge benefiting from elevated crude and strong margins. Hold.</t>
  </si>
  <si>
    <t>Close</t>
  </si>
  <si>
    <t>Trailing stop-loss hit on GE later that day; full position closed to protect gains and free capital.</t>
  </si>
  <si>
    <t>Lockheed Martin Corp.</t>
  </si>
  <si>
    <t>Trailing stop on LMT triggered; locked in profit before reassessing entry.</t>
  </si>
  <si>
    <t>Dividend payment received on GOOGL; no change to position size or thesis.</t>
  </si>
  <si>
    <t>Closed WMT after sustained underperformance; capital reallocated to higher‑conviction retail (TGT).</t>
  </si>
  <si>
    <t>Exited JPM as financials lag and rate‑cut expectations shift; redeploying capital into other sectors.</t>
  </si>
  <si>
    <t>Halved XLP to reduce over‑weight in staples while keeping a defensive core.</t>
  </si>
  <si>
    <t>Re‑entered LMT after stop; defense backlog and spending thesis unchanged, so rebuilt position.</t>
  </si>
  <si>
    <t>TGT</t>
  </si>
  <si>
    <t>Target Corp</t>
  </si>
  <si>
    <t>Initiated TGT as replacement for WMT, leaning into turnaround and earnings momentum.</t>
  </si>
  <si>
    <t>ITA</t>
  </si>
  <si>
    <t>iShares U.S. Aerospace &amp; Defense ETF</t>
  </si>
  <si>
    <t>Added broad defense ETF around LMT to diversify single‑name risk.</t>
  </si>
  <si>
    <t>NBIS</t>
  </si>
  <si>
    <t>Nebius Group N.V. – Class A</t>
  </si>
  <si>
    <t>Small speculative AI‑infrastructure satellite after building core energy/defense positions.</t>
  </si>
  <si>
    <t>NVDA</t>
  </si>
  <si>
    <t>NVIDIA Corp</t>
  </si>
  <si>
    <t>Built NVDA position ahead of GTC conference as main AI catalyst for the portfolio.</t>
  </si>
  <si>
    <t>ORCL</t>
  </si>
  <si>
    <t>Oracle Corp.</t>
  </si>
  <si>
    <t>Entered Oracle after strong earnings and cloud growth; value‑tilted AI infrastructure exposure.</t>
  </si>
  <si>
    <t>IBB</t>
  </si>
  <si>
    <t>iShares Biotechnology ETF</t>
  </si>
  <si>
    <t>Added diversified biotech exposure to capture sector strength and ongoing M&amp;A.</t>
  </si>
  <si>
    <t>SIEGY</t>
  </si>
  <si>
    <t>Siemens AG – ADR</t>
  </si>
  <si>
    <t>European industrial core with strong electrification/automation order book, adding non‑US energy‑transition exposure beyond XOM/XLE.</t>
  </si>
  <si>
    <t>Name</t>
  </si>
  <si>
    <t>Exchange Abbreviation</t>
  </si>
  <si>
    <t>Instrument Type</t>
  </si>
  <si>
    <t>Last trade time</t>
  </si>
  <si>
    <t>Volume</t>
  </si>
  <si>
    <t>Beta</t>
  </si>
  <si>
    <t>Price</t>
  </si>
  <si>
    <t>Change</t>
  </si>
  <si>
    <t>Change (%)</t>
  </si>
  <si>
    <t>High</t>
  </si>
  <si>
    <t>Low</t>
  </si>
  <si>
    <t>52 Week High</t>
  </si>
  <si>
    <t>52 week low</t>
  </si>
  <si>
    <t>Previous Close</t>
  </si>
  <si>
    <t>Market Cap</t>
  </si>
  <si>
    <t>Reporting Period Start 
(YYYY-MM-DD)</t>
  </si>
  <si>
    <t>Reporting Period End 
(YYYY-MM-DD)</t>
  </si>
  <si>
    <t>Strategy Summary (4–8 lines)</t>
  </si>
  <si>
    <t>Top 3 Decisions &amp; Why (bullets)</t>
  </si>
  <si>
    <t>What You Learned / Next Steps</t>
  </si>
  <si>
    <t>Momentum with risk caps per position (max 3% of portfolio). Focus on large-cap tech breakouts and macro-sensitive names ahead of CPI.</t>
  </si>
  <si>
    <t>Made SPY the foundation to reduce single-stock risk
Added LMT for stable defense-sector exposure
Overweighted defensive sectors to protect against downturns</t>
  </si>
  <si>
    <t>Maintain defensive positioning while monitoring sector concentration risk; avoid over-allocating to low-volatility names. Next: consider adding selective growth or international exposure and rebalance if defensive weight becomes excessive.</t>
  </si>
  <si>
    <t>The portfolio's moderate-risk, fundamentals-first mandate was maintained throughout, with no position exceeding 9% of total capital and no sector breaching the 25% concentration limit. </t>
  </si>
  <si>
    <t xml:space="preserve">Short-term geopolitical spike opened on XLE and XOM
Held all positions through market decline
Placed protective stops on WMT, IONQ (stop-loss) and LMT, GE, MU, GOOGL (trailing stops) </t>
  </si>
  <si>
    <t>Learned:
Defensive sector rotation (staples, utilities) behaves as expected during broad market selloffs, validating the barbell construction
Position sizing matters more than individual stock selection — WMT and IONQ caused noise but couldn't meaningfully damage the portfolio because neither exceeded 8% of capital
Next Steps:
Monitor WMT and IONQ weekly; if either breaches its stop-loss, log the close and reallocate proceeds to a higher-conviction position 
Log 3 check-in: reassess JPM given Fed rate trajectory and whether financials sector thesis remains intact 
Consider initiating a small position to bring the portfolio closer to the 60/40 charter target if equity volatility increases</t>
  </si>
  <si>
    <t>The first two weeks of March marked a deliberate gear shift. Capital preservation gave way to high-conviction growth plays after trailing stops did their job on GE, MU, and LMT during that early-month turbulence. The freed-up cash went straight into the "AI Power &amp; Infra" thesis, concentrated in NVDA, ORCL, and NBIS. Defense didn't get abandoned, though. LMT came back into the portfolio alongside ITA to keep the geopolitical hedge intact. On the retail side, WMT wasn't pulling its weight relative to the sector, so it got swapped for TGT after solid earnings data confirmed the thesis.</t>
  </si>
  <si>
    <t>The WMT exit was overdue. The position was dragging behind the broader consumer discretionary space, and TGT (610 units) offered a cleaner entry with better near-term momentum. Simple upgrade in quality, nothing exotic.
The real alpha play was channeling stopped-out capital into NVDA and ORCL right before the GTC Conference window. Timing mattered here. The AI infrastructure narrative had a concrete catalyst on the calendar, and sitting in cash while that played out would have been a waste of the rotation opportunity.
LMT's re-entry deserves its own note. The trailing stop that triggered wasn't a conviction call; it was mechanical. The original macro thesis on rising global military budgets hadn't changed one bit. So the correction was manual: re-enter LMT, add ITA for broader defense diversification, and restore the portfolio's intended structure.</t>
  </si>
  <si>
    <t>Learned
Trailing stops worked exactly as designed on GE and MU. They locked in gains during volatility. But the LMT situation exposed a gap: when a stop fires on a position you still believe in fundamentally, you need a re-entry protocol, not just a "wait and see" reflex. That's a process improvement I'm codifying going forward. The Gemini-driven tech selloff also reinforced something I already suspected; high-beta names need wider stop buffers. Tight stops on volatile positions just generate unnecessary churn.
Next Steps
NVDA and ORCL are the immediate watchlist. Post-conference price action will dictate whether stops get tightened or left loose. SIEGY is on the radar as a potential European industrial hedge, worth a deeper look in the next cycle. And IBB's recent leadership in biotech raises a real question: does it merit scaling from a satellite position into a core allocation? That answer depends on whether the momentum sustains through April.</t>
  </si>
  <si>
    <t>1st log</t>
  </si>
  <si>
    <t>AssetClass</t>
  </si>
  <si>
    <t>Value</t>
  </si>
  <si>
    <t>Cash</t>
  </si>
  <si>
    <t>Long Equities</t>
  </si>
  <si>
    <t>GBP</t>
  </si>
  <si>
    <t>Bond</t>
  </si>
  <si>
    <t>EUR</t>
  </si>
  <si>
    <t>Mutual Fund</t>
  </si>
  <si>
    <t>JPY</t>
  </si>
  <si>
    <t>FX</t>
  </si>
  <si>
    <t>CHF</t>
  </si>
  <si>
    <t>Crypto</t>
  </si>
  <si>
    <t>CAD</t>
  </si>
  <si>
    <t>Commodity</t>
  </si>
  <si>
    <t>AUD</t>
  </si>
  <si>
    <t>Index Future</t>
  </si>
  <si>
    <t>CNY</t>
  </si>
  <si>
    <t>Option</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</si>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</sst>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409]* #,##0.00_);_([$$-409]* \(#,##0.00\);_([$$-409]* &quot;-&quot;??_);_(@_)"/>
    <numFmt numFmtId="165" formatCode="_([$$-409]* #,##0_);_([$$-409]* \(#,##0\);_([$$-409]* &quot;-&quot;_);_(@_)"/>
    <numFmt numFmtId="166" formatCode="_-[$$-409]* #,##0.00_ ;_-[$$-409]* \-#,##0.00\ ;_-[$$-409]* &quot;-&quot;??_ ;_-@_ "/>
    <numFmt numFmtId="167" formatCode="[$-14009]yyyy/mm/dd;@"/>
  </numFmts>
  <fonts count="26">
    <font>
      <sz val="11"/>
      <color theme="1"/>
      <name val="Calibri"/>
      <family val="2"/>
      <scheme val="minor"/>
    </font>
    <font>
      <b/>
      <sz val="12"/>
      <color theme="1"/>
      <name val="Calibri"/>
      <family val="2"/>
      <scheme val="minor"/>
    </font>
    <font>
      <sz val="11"/>
      <color theme="1"/>
      <name val="Bai Jamjuree"/>
      <family val="2"/>
      <charset val="222"/>
    </font>
    <font>
      <b/>
      <sz val="16"/>
      <color theme="1"/>
      <name val="Bai Jamjuree"/>
      <family val="2"/>
      <charset val="222"/>
    </font>
    <font>
      <b/>
      <sz val="12"/>
      <color theme="0"/>
      <name val="Bai Jamjuree"/>
      <family val="2"/>
      <charset val="222"/>
    </font>
    <font>
      <sz val="12"/>
      <color theme="1"/>
      <name val="Bai Jamjuree"/>
      <family val="2"/>
      <charset val="222"/>
    </font>
    <font>
      <sz val="18"/>
      <color theme="1"/>
      <name val="Bai Jamjuree"/>
      <family val="2"/>
      <charset val="222"/>
    </font>
    <font>
      <sz val="12"/>
      <name val="Bai Jamjuree"/>
      <family val="2"/>
      <charset val="222"/>
    </font>
    <font>
      <b/>
      <sz val="12"/>
      <name val="Bai Jamjuree"/>
      <family val="2"/>
      <charset val="222"/>
    </font>
    <font>
      <sz val="72"/>
      <name val="Bai Jamjuree"/>
      <family val="2"/>
      <charset val="222"/>
    </font>
    <font>
      <sz val="16"/>
      <name val="Bai Jamjuree"/>
      <family val="2"/>
      <charset val="222"/>
    </font>
    <font>
      <sz val="22"/>
      <name val="Bai Jamjuree"/>
      <family val="2"/>
      <charset val="222"/>
    </font>
    <font>
      <sz val="72"/>
      <name val="Poppins"/>
    </font>
    <font>
      <b/>
      <sz val="22"/>
      <name val="Bai Jamjuree"/>
      <family val="2"/>
      <charset val="222"/>
    </font>
    <font>
      <sz val="11"/>
      <color theme="1"/>
      <name val="Bai Jamjuree"/>
    </font>
    <font>
      <sz val="12"/>
      <name val="Bai Jamjuree"/>
    </font>
    <font>
      <sz val="22"/>
      <name val="Bai Jamjuree"/>
    </font>
    <font>
      <sz val="16"/>
      <name val="Bai Jamjuree"/>
    </font>
    <font>
      <b/>
      <sz val="12"/>
      <name val="Bai Jamjuree"/>
    </font>
    <font>
      <sz val="72"/>
      <name val="Bai Jamjuree"/>
    </font>
    <font>
      <b/>
      <sz val="22"/>
      <name val="Bai Jamjuree"/>
    </font>
    <font>
      <sz val="11"/>
      <color theme="1"/>
      <name val="Poppins"/>
    </font>
    <font>
      <sz val="11"/>
      <color theme="1" tint="0.499984740745262"/>
      <name val="Bai Jamjuree"/>
    </font>
    <font>
      <sz val="11"/>
      <color theme="1" tint="0.499984740745262"/>
      <name val="Bai Jamjuree"/>
      <family val="2"/>
      <charset val="222"/>
    </font>
    <font>
      <sz val="11"/>
      <color theme="1" tint="0.499984740745262"/>
      <name val="Poppins"/>
    </font>
    <font>
      <sz val="12"/>
      <color theme="1"/>
      <name val="Bai Jamjuree"/>
    </font>
  </fonts>
  <fills count="5">
    <fill>
      <patternFill patternType="none"/>
    </fill>
    <fill>
      <patternFill patternType="gray125"/>
    </fill>
    <fill>
      <patternFill patternType="solid">
        <fgColor theme="4"/>
        <bgColor theme="4"/>
      </patternFill>
    </fill>
    <fill>
      <patternFill patternType="solid">
        <fgColor theme="2"/>
        <bgColor indexed="64"/>
      </patternFill>
    </fill>
    <fill>
      <patternFill patternType="solid">
        <fgColor theme="9"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96">
    <xf numFmtId="0" fontId="0" fillId="0" borderId="0" xfId="0"/>
    <xf numFmtId="0" fontId="1" fillId="0" borderId="0" xfId="0" applyFont="1"/>
    <xf numFmtId="0" fontId="0" fillId="0" borderId="0" xfId="0" applyAlignment="1">
      <alignment vertical="top" wrapText="1"/>
    </xf>
    <xf numFmtId="0" fontId="2" fillId="0" borderId="0" xfId="0" applyFont="1"/>
    <xf numFmtId="0" fontId="2" fillId="0" borderId="0" xfId="0" applyFont="1" applyAlignment="1">
      <alignment horizontal="center"/>
    </xf>
    <xf numFmtId="0" fontId="2" fillId="0" borderId="0" xfId="0" applyFont="1" applyAlignment="1">
      <alignment horizontal="right"/>
    </xf>
    <xf numFmtId="0" fontId="2"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vertical="center"/>
    </xf>
    <xf numFmtId="4" fontId="2" fillId="0" borderId="0" xfId="0" applyNumberFormat="1" applyFont="1" applyAlignment="1">
      <alignment horizontal="right" vertical="center"/>
    </xf>
    <xf numFmtId="0" fontId="2" fillId="0" borderId="0" xfId="0" applyFont="1" applyAlignment="1">
      <alignment vertical="center" wrapText="1"/>
    </xf>
    <xf numFmtId="4" fontId="2" fillId="0" borderId="0" xfId="0" applyNumberFormat="1" applyFont="1" applyAlignment="1">
      <alignment horizontal="right"/>
    </xf>
    <xf numFmtId="0" fontId="3" fillId="0" borderId="1" xfId="0" applyFont="1" applyBorder="1" applyAlignment="1">
      <alignment horizontal="center" vertical="top" wrapText="1"/>
    </xf>
    <xf numFmtId="0" fontId="3" fillId="0" borderId="1" xfId="0" applyFont="1" applyBorder="1" applyAlignment="1">
      <alignment horizontal="right" vertical="top" wrapText="1"/>
    </xf>
    <xf numFmtId="0" fontId="4" fillId="2" borderId="1" xfId="0" applyFont="1" applyFill="1" applyBorder="1" applyAlignment="1">
      <alignment horizontal="center" vertical="top" wrapText="1"/>
    </xf>
    <xf numFmtId="0" fontId="5" fillId="0" borderId="0" xfId="0" applyFont="1"/>
    <xf numFmtId="14" fontId="5" fillId="0" borderId="1" xfId="0" applyNumberFormat="1" applyFont="1" applyBorder="1" applyAlignment="1">
      <alignment horizontal="center" vertical="center"/>
    </xf>
    <xf numFmtId="0" fontId="5" fillId="0" borderId="1" xfId="0" applyFont="1" applyBorder="1" applyAlignment="1">
      <alignment vertical="center" wrapText="1"/>
    </xf>
    <xf numFmtId="14" fontId="5" fillId="0" borderId="0" xfId="0" applyNumberFormat="1"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5" fillId="0" borderId="0" xfId="0" applyFont="1" applyAlignment="1">
      <alignment wrapText="1"/>
    </xf>
    <xf numFmtId="164" fontId="2" fillId="0" borderId="0" xfId="0" applyNumberFormat="1" applyFont="1"/>
    <xf numFmtId="0" fontId="3" fillId="0" borderId="0" xfId="0" applyFont="1" applyAlignment="1">
      <alignment horizontal="center" vertical="top" wrapText="1"/>
    </xf>
    <xf numFmtId="22" fontId="2" fillId="0" borderId="0" xfId="0" applyNumberFormat="1" applyFont="1"/>
    <xf numFmtId="4" fontId="2" fillId="0" borderId="0" xfId="0" applyNumberFormat="1" applyFont="1"/>
    <xf numFmtId="10" fontId="2" fillId="0" borderId="0" xfId="0" applyNumberFormat="1" applyFont="1"/>
    <xf numFmtId="3" fontId="2" fillId="0" borderId="0" xfId="0" applyNumberFormat="1" applyFont="1"/>
    <xf numFmtId="0" fontId="6" fillId="0" borderId="0" xfId="0" applyFont="1" applyAlignment="1">
      <alignment wrapText="1"/>
    </xf>
    <xf numFmtId="0" fontId="7" fillId="0" borderId="0" xfId="0" applyFont="1"/>
    <xf numFmtId="0" fontId="7" fillId="0" borderId="0" xfId="0" applyFont="1" applyAlignment="1">
      <alignment horizontal="left" vertical="center" readingOrder="1"/>
    </xf>
    <xf numFmtId="0" fontId="8" fillId="0" borderId="0" xfId="0" applyFont="1" applyAlignment="1">
      <alignment horizontal="left" vertical="center"/>
    </xf>
    <xf numFmtId="0" fontId="7" fillId="0" borderId="0" xfId="0" applyFont="1" applyAlignment="1">
      <alignment horizontal="left"/>
    </xf>
    <xf numFmtId="0" fontId="10" fillId="0" borderId="0" xfId="0" applyFont="1" applyAlignment="1">
      <alignment horizontal="left"/>
    </xf>
    <xf numFmtId="0" fontId="10" fillId="0" borderId="0" xfId="0" applyFont="1" applyAlignment="1">
      <alignment horizontal="left" vertical="center"/>
    </xf>
    <xf numFmtId="0" fontId="13" fillId="0" borderId="0" xfId="0" applyFont="1" applyAlignment="1">
      <alignment horizontal="center" vertical="center"/>
    </xf>
    <xf numFmtId="0" fontId="15" fillId="0" borderId="0" xfId="0" applyFont="1"/>
    <xf numFmtId="0" fontId="15" fillId="0" borderId="0" xfId="0" applyFont="1" applyAlignment="1">
      <alignment horizontal="left" vertical="center" readingOrder="1"/>
    </xf>
    <xf numFmtId="0" fontId="15" fillId="0" borderId="0" xfId="0" applyFont="1" applyAlignment="1">
      <alignment horizontal="left"/>
    </xf>
    <xf numFmtId="0" fontId="17" fillId="0" borderId="0" xfId="0" applyFont="1" applyAlignment="1">
      <alignment horizontal="left" vertical="center"/>
    </xf>
    <xf numFmtId="0" fontId="17" fillId="0" borderId="0" xfId="0" applyFont="1" applyAlignment="1">
      <alignment horizontal="left"/>
    </xf>
    <xf numFmtId="0" fontId="18" fillId="0" borderId="0" xfId="0" applyFont="1" applyAlignment="1">
      <alignment horizontal="left" vertical="center"/>
    </xf>
    <xf numFmtId="0" fontId="20" fillId="0" borderId="0" xfId="0" applyFont="1" applyAlignment="1">
      <alignment horizontal="center" vertical="center"/>
    </xf>
    <xf numFmtId="165" fontId="2" fillId="0" borderId="0" xfId="0" applyNumberFormat="1" applyFont="1"/>
    <xf numFmtId="0" fontId="21" fillId="0" borderId="2" xfId="0" applyFont="1" applyBorder="1" applyAlignment="1">
      <alignment horizontal="left" vertical="center" wrapText="1"/>
    </xf>
    <xf numFmtId="0" fontId="14" fillId="0" borderId="0" xfId="0" applyFont="1" applyAlignment="1">
      <alignment wrapText="1"/>
    </xf>
    <xf numFmtId="0" fontId="5" fillId="0" borderId="1" xfId="0" applyFont="1" applyBorder="1" applyAlignment="1">
      <alignment horizontal="left" vertical="center" wrapText="1" indent="2"/>
    </xf>
    <xf numFmtId="166" fontId="14" fillId="0" borderId="0" xfId="0" applyNumberFormat="1" applyFont="1" applyAlignment="1">
      <alignment horizontal="right" vertical="center"/>
    </xf>
    <xf numFmtId="14" fontId="7" fillId="0" borderId="0" xfId="0" applyNumberFormat="1" applyFont="1"/>
    <xf numFmtId="167" fontId="3" fillId="0" borderId="1" xfId="0" applyNumberFormat="1" applyFont="1" applyBorder="1" applyAlignment="1">
      <alignment horizontal="center" vertical="top" wrapText="1"/>
    </xf>
    <xf numFmtId="167" fontId="2" fillId="0" borderId="0" xfId="0" applyNumberFormat="1" applyFont="1" applyAlignment="1">
      <alignment horizontal="center" vertical="center"/>
    </xf>
    <xf numFmtId="167" fontId="2" fillId="0" borderId="0" xfId="0" applyNumberFormat="1" applyFont="1" applyAlignment="1">
      <alignment horizontal="center"/>
    </xf>
    <xf numFmtId="167" fontId="2" fillId="0" borderId="0" xfId="0" applyNumberFormat="1" applyFont="1"/>
    <xf numFmtId="167" fontId="2" fillId="4" borderId="0" xfId="0" applyNumberFormat="1" applyFont="1" applyFill="1" applyAlignment="1">
      <alignment horizontal="center" vertical="center"/>
    </xf>
    <xf numFmtId="0" fontId="2" fillId="4" borderId="0" xfId="0" applyFont="1" applyFill="1" applyAlignment="1">
      <alignment horizontal="center" vertical="center"/>
    </xf>
    <xf numFmtId="164" fontId="2" fillId="4" borderId="0" xfId="0" applyNumberFormat="1" applyFont="1" applyFill="1" applyAlignment="1">
      <alignment horizontal="right" vertical="center"/>
    </xf>
    <xf numFmtId="0" fontId="2" fillId="4" borderId="0" xfId="0" applyFont="1" applyFill="1" applyAlignment="1">
      <alignment vertical="center"/>
    </xf>
    <xf numFmtId="0" fontId="2" fillId="4" borderId="0" xfId="0" applyFont="1" applyFill="1" applyAlignment="1">
      <alignment horizontal="right" vertical="center"/>
    </xf>
    <xf numFmtId="4" fontId="2" fillId="4" borderId="0" xfId="0" applyNumberFormat="1" applyFont="1" applyFill="1" applyAlignment="1">
      <alignment horizontal="right" vertical="center"/>
    </xf>
    <xf numFmtId="0" fontId="14" fillId="4" borderId="2" xfId="0" applyFont="1" applyFill="1" applyBorder="1" applyAlignment="1">
      <alignment horizontal="left" vertical="center" wrapText="1"/>
    </xf>
    <xf numFmtId="167" fontId="22" fillId="0" borderId="0" xfId="0" applyNumberFormat="1" applyFont="1" applyAlignment="1">
      <alignment horizontal="center" vertical="center"/>
    </xf>
    <xf numFmtId="0" fontId="22" fillId="0" borderId="0" xfId="0" applyFont="1" applyAlignment="1">
      <alignment horizontal="center" vertical="center"/>
    </xf>
    <xf numFmtId="166" fontId="22" fillId="0" borderId="0" xfId="0" applyNumberFormat="1" applyFont="1" applyAlignment="1">
      <alignment horizontal="right" vertical="center"/>
    </xf>
    <xf numFmtId="0" fontId="22" fillId="0" borderId="0" xfId="0" applyFont="1" applyAlignment="1">
      <alignment vertical="center"/>
    </xf>
    <xf numFmtId="0" fontId="22" fillId="0" borderId="0" xfId="0" applyFont="1" applyAlignment="1">
      <alignment horizontal="right" vertical="center"/>
    </xf>
    <xf numFmtId="4" fontId="22" fillId="0" borderId="0" xfId="0" applyNumberFormat="1" applyFont="1" applyAlignment="1">
      <alignment horizontal="right" vertical="center"/>
    </xf>
    <xf numFmtId="0" fontId="22" fillId="0" borderId="0" xfId="0" applyFont="1" applyAlignment="1">
      <alignment vertical="center" wrapText="1"/>
    </xf>
    <xf numFmtId="167" fontId="22" fillId="3" borderId="0" xfId="0" applyNumberFormat="1" applyFont="1" applyFill="1" applyAlignment="1">
      <alignment horizontal="center" vertical="center"/>
    </xf>
    <xf numFmtId="0" fontId="22" fillId="3" borderId="0" xfId="0" applyFont="1" applyFill="1" applyAlignment="1">
      <alignment horizontal="center" vertical="center"/>
    </xf>
    <xf numFmtId="164" fontId="22" fillId="3" borderId="0" xfId="0" applyNumberFormat="1" applyFont="1" applyFill="1" applyAlignment="1">
      <alignment horizontal="right" vertical="center"/>
    </xf>
    <xf numFmtId="0" fontId="22" fillId="3" borderId="0" xfId="0" applyFont="1" applyFill="1" applyAlignment="1">
      <alignment vertical="center"/>
    </xf>
    <xf numFmtId="0" fontId="22" fillId="3" borderId="0" xfId="0" applyFont="1" applyFill="1" applyAlignment="1">
      <alignment horizontal="right" vertical="center"/>
    </xf>
    <xf numFmtId="4" fontId="22" fillId="3" borderId="0" xfId="0" applyNumberFormat="1" applyFont="1" applyFill="1" applyAlignment="1">
      <alignment horizontal="right" vertical="center"/>
    </xf>
    <xf numFmtId="0" fontId="22" fillId="3" borderId="0" xfId="0" applyFont="1" applyFill="1" applyAlignment="1">
      <alignment vertical="center" wrapText="1"/>
    </xf>
    <xf numFmtId="167" fontId="23" fillId="0" borderId="0" xfId="0" applyNumberFormat="1" applyFont="1" applyAlignment="1">
      <alignment horizontal="center" vertical="center"/>
    </xf>
    <xf numFmtId="0" fontId="23" fillId="0" borderId="0" xfId="0" applyFont="1" applyAlignment="1">
      <alignment horizontal="center" vertical="center"/>
    </xf>
    <xf numFmtId="0" fontId="23" fillId="0" borderId="0" xfId="0" applyFont="1" applyAlignment="1">
      <alignment vertical="center"/>
    </xf>
    <xf numFmtId="0" fontId="23" fillId="0" borderId="0" xfId="0" applyFont="1" applyAlignment="1">
      <alignment horizontal="right" vertical="center"/>
    </xf>
    <xf numFmtId="4" fontId="23" fillId="0" borderId="0" xfId="0" applyNumberFormat="1" applyFont="1" applyAlignment="1">
      <alignment horizontal="right" vertical="center"/>
    </xf>
    <xf numFmtId="0" fontId="24" fillId="0" borderId="2" xfId="0" applyFont="1" applyBorder="1" applyAlignment="1">
      <alignment horizontal="left" vertical="center" wrapText="1"/>
    </xf>
    <xf numFmtId="0" fontId="22" fillId="0" borderId="2" xfId="0" applyFont="1" applyBorder="1" applyAlignment="1">
      <alignment horizontal="left" vertical="center" wrapText="1"/>
    </xf>
    <xf numFmtId="0" fontId="23" fillId="0" borderId="0" xfId="0" applyFont="1" applyAlignment="1">
      <alignment horizontal="center" vertical="center" wrapText="1"/>
    </xf>
    <xf numFmtId="166" fontId="23" fillId="0" borderId="0" xfId="0" applyNumberFormat="1" applyFont="1" applyAlignment="1">
      <alignment horizontal="right" vertical="center"/>
    </xf>
    <xf numFmtId="0" fontId="25" fillId="0" borderId="1" xfId="0" applyFont="1" applyBorder="1" applyAlignment="1">
      <alignment vertical="center" wrapText="1"/>
    </xf>
    <xf numFmtId="14" fontId="0" fillId="0" borderId="0" xfId="0" applyNumberFormat="1" applyAlignment="1">
      <alignment horizontal="center" vertical="center" wrapText="1"/>
    </xf>
    <xf numFmtId="0" fontId="5" fillId="0" borderId="0" xfId="0" applyFont="1" applyAlignment="1">
      <alignment horizontal="center"/>
    </xf>
    <xf numFmtId="0" fontId="7" fillId="0" borderId="0" xfId="0" applyFont="1" applyAlignment="1">
      <alignment horizontal="center"/>
    </xf>
    <xf numFmtId="0" fontId="9" fillId="0" borderId="0" xfId="0" applyFont="1" applyAlignment="1">
      <alignment horizontal="right" vertical="center"/>
    </xf>
    <xf numFmtId="0" fontId="12" fillId="0" borderId="0" xfId="0" applyFont="1" applyAlignment="1">
      <alignment horizontal="center" vertical="center"/>
    </xf>
    <xf numFmtId="0" fontId="10" fillId="0" borderId="0" xfId="0" applyFont="1" applyAlignment="1">
      <alignment horizontal="center" vertical="center"/>
    </xf>
    <xf numFmtId="14" fontId="11" fillId="0" borderId="0" xfId="0" applyNumberFormat="1" applyFont="1" applyAlignment="1">
      <alignment horizontal="center" vertical="center"/>
    </xf>
    <xf numFmtId="0" fontId="15" fillId="0" borderId="0" xfId="0" applyFont="1" applyAlignment="1">
      <alignment horizontal="center"/>
    </xf>
    <xf numFmtId="0" fontId="19" fillId="0" borderId="0" xfId="0" applyFont="1" applyAlignment="1">
      <alignment horizontal="right" vertical="center"/>
    </xf>
    <xf numFmtId="0" fontId="17" fillId="0" borderId="0" xfId="0" applyFont="1" applyAlignment="1">
      <alignment horizontal="center" vertical="center"/>
    </xf>
    <xf numFmtId="14" fontId="16" fillId="0" borderId="0" xfId="0" applyNumberFormat="1" applyFont="1" applyAlignment="1">
      <alignment horizontal="center" vertical="center"/>
    </xf>
  </cellXfs>
  <cellStyles count="1">
    <cellStyle name="Normal" xfId="0" builtinId="0"/>
  </cellStyles>
  <dxfs count="31">
    <dxf>
      <font>
        <strike val="0"/>
        <outline val="0"/>
        <shadow val="0"/>
        <u val="none"/>
        <vertAlign val="baseline"/>
        <name val="Bai Jamjuree"/>
        <scheme val="none"/>
      </font>
      <alignment vertical="center" textRotation="0" wrapText="1" indent="0" justifyLastLine="0" shrinkToFit="0" readingOrder="0"/>
    </dxf>
    <dxf>
      <font>
        <b val="0"/>
        <i val="0"/>
        <strike val="0"/>
        <condense val="0"/>
        <extend val="0"/>
        <outline val="0"/>
        <shadow val="0"/>
        <u val="none"/>
        <vertAlign val="baseline"/>
        <sz val="11"/>
        <color theme="1"/>
        <name val="Bai Jamjuree"/>
        <scheme val="none"/>
      </font>
      <alignment horizontal="general" vertical="bottom" textRotation="0" wrapText="1" indent="0" justifyLastLine="0" shrinkToFit="0" readingOrder="0"/>
    </dxf>
    <dxf>
      <font>
        <strike val="0"/>
        <outline val="0"/>
        <shadow val="0"/>
        <u val="none"/>
        <vertAlign val="baseline"/>
        <name val="Bai Jamjuree"/>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numFmt numFmtId="4" formatCode="#,##0.00"/>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4" formatCode="#,##0.00"/>
      <alignment horizontal="right" vertical="bottom" textRotation="0" wrapText="0" indent="0" justifyLastLine="0" shrinkToFit="0" readingOrder="0"/>
    </dxf>
    <dxf>
      <font>
        <strike val="0"/>
        <outline val="0"/>
        <shadow val="0"/>
        <u val="none"/>
        <vertAlign val="baseline"/>
        <name val="Bai Jamjuree"/>
        <scheme val="none"/>
      </font>
      <alignment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dxf>
    <dxf>
      <font>
        <strike val="0"/>
        <outline val="0"/>
        <shadow val="0"/>
        <u val="none"/>
        <vertAlign val="baseline"/>
        <name val="Bai Jamjuree"/>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dxf>
    <dxf>
      <font>
        <strike val="0"/>
        <outline val="0"/>
        <shadow val="0"/>
        <u val="none"/>
        <vertAlign val="baseline"/>
        <name val="Bai Jamjuree"/>
        <scheme val="none"/>
      </font>
      <alignment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dxf>
    <dxf>
      <font>
        <strike val="0"/>
        <outline val="0"/>
        <shadow val="0"/>
        <u val="none"/>
        <vertAlign val="baseline"/>
        <name val="Bai Jamjuree"/>
        <scheme val="none"/>
      </font>
      <numFmt numFmtId="164" formatCode="_([$$-409]* #,##0.00_);_([$$-409]* \(#,##0.00\);_([$$-409]* &quot;-&quot;??_);_(@_)"/>
      <alignment horizontal="right" vertical="center"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right"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numFmt numFmtId="167" formatCode="[$-14009]yyyy/mm/dd;@"/>
      <alignment horizontal="center" vertical="center" textRotation="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167" formatCode="[$-14009]yyyy/mm/dd;@"/>
      <alignment horizontal="center" vertical="bottom" textRotation="0" wrapText="0" indent="0" justifyLastLine="0" shrinkToFit="0" readingOrder="0"/>
    </dxf>
    <dxf>
      <border outline="0">
        <bottom style="thin">
          <color auto="1"/>
        </bottom>
      </border>
    </dxf>
    <dxf>
      <font>
        <strike val="0"/>
        <outline val="0"/>
        <shadow val="0"/>
        <u val="none"/>
        <vertAlign val="baseline"/>
        <name val="Bai Jamjuree"/>
        <scheme val="none"/>
      </font>
    </dxf>
    <dxf>
      <font>
        <strike val="0"/>
        <outline val="0"/>
        <shadow val="0"/>
        <u val="none"/>
        <vertAlign val="baseline"/>
        <name val="Bai Jamjuree"/>
        <scheme val="none"/>
      </font>
      <alignment vertical="center" textRotation="0" indent="0" justifyLastLine="0" shrinkToFit="0" readingOrder="0"/>
    </dxf>
    <dxf>
      <font>
        <b/>
        <i val="0"/>
        <strike val="0"/>
        <condense val="0"/>
        <extend val="0"/>
        <outline val="0"/>
        <shadow val="0"/>
        <u val="none"/>
        <vertAlign val="baseline"/>
        <sz val="16"/>
        <color theme="1"/>
        <name val="Bai Jamjuree"/>
        <scheme val="none"/>
      </font>
      <alignment horizontal="center" vertical="top" textRotation="0" wrapText="1" indent="0" justifyLastLine="0" shrinkToFit="0" readingOrder="0"/>
      <border diagonalUp="0" diagonalDown="0" outline="0">
        <left style="thin">
          <color auto="1"/>
        </left>
        <right style="thin">
          <color auto="1"/>
        </right>
        <top/>
        <bottom/>
      </border>
    </dxf>
    <dxf>
      <fill>
        <patternFill>
          <bgColor theme="9" tint="-0.499984740745262"/>
        </patternFill>
      </fill>
    </dxf>
  </dxfs>
  <tableStyles count="1" defaultTableStyle="TableStyleMedium9" defaultPivotStyle="PivotStyleLight16">
    <tableStyle name="Table Style 1" pivot="0" count="1" xr9:uid="{125F60BD-1004-4C58-B149-3766CD2AE2CC}">
      <tableStyleElement type="headerRow" dxfId="30"/>
    </tableStyle>
  </tableStyles>
  <colors>
    <mruColors>
      <color rgb="FFFDC89D"/>
      <color rgb="FFB958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microsoft.com/office/2017/06/relationships/rdSupportingPropertyBag" Target="richData/rdsupportingpropertybag.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17/06/relationships/rdRichValueStructure" Target="richData/rdrichvaluestructure.xml"/><Relationship Id="rId23" Type="http://schemas.openxmlformats.org/officeDocument/2006/relationships/customXml" Target="../customXml/item3.xml"/><Relationship Id="rId10" Type="http://schemas.openxmlformats.org/officeDocument/2006/relationships/styles" Target="styles.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connections" Target="connections.xml"/><Relationship Id="rId14" Type="http://schemas.microsoft.com/office/2017/06/relationships/rdRichValue" Target="richData/rdrichvalue.xml"/><Relationship Id="rId22"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491749-9FA6-4C2D-A82F-B78456C80333}" autoFormatId="16" applyNumberFormats="0" applyBorderFormats="0" applyFontFormats="0" applyPatternFormats="0" applyAlignmentFormats="0" applyWidthHeightFormats="0">
  <queryTableRefresh nextId="3">
    <queryTableFields count="2">
      <queryTableField id="1" name="AssetClass" tableColumnId="1"/>
      <queryTableField id="2" name="Value" tableColumnId="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77">
  <rv s="0">
    <v>0</v>
    <v>5</v>
  </rv>
  <rv s="1">
    <v>https://www.bing.com/financeapi/forcetrigger?t=a23hqh&amp;q=ARCX%3aSPY&amp;form=skydnc</v>
    <v>Learn more on Bing</v>
  </rv>
  <rv s="2">
    <v>en-GB</v>
    <v>a23hqh</v>
    <v>268435456</v>
    <v>1</v>
    <v>Powered by Refinitiv</v>
    <v>0</v>
    <v>State Street SPDR S&amp;P500 (ARCX:SPY)</v>
    <v>2</v>
    <v>3</v>
    <v>Finance</v>
    <v>4</v>
    <v>697.84</v>
    <v>481.8</v>
    <v>0.99870000000000003</v>
    <v>6.66</v>
    <v>-8.3699999999999996E-4</v>
    <v>1.0056000000000001E-2</v>
    <v>-0.56000000000000005</v>
    <v>USD</v>
    <v>NYSE Arca</v>
    <v>ARCX</v>
    <v>8.9999999999999998E-4</v>
    <v>672.07</v>
    <v>ETF</v>
    <v>46097.865051353903</v>
    <v>1</v>
    <v>667.12</v>
    <v>698270243919.53003</v>
    <v>State Street SPDR S&amp;P500</v>
    <v>668.38</v>
    <v>662.29</v>
    <v>668.95</v>
    <v>668.47</v>
    <v>SPY</v>
    <v>State Street SPDR S&amp;P500 (ARCX:SPY)</v>
    <v>81122562</v>
    <v>82299556</v>
  </rv>
  <rv s="3">
    <v>2</v>
  </rv>
  <rv s="1">
    <v>https://www.bing.com/financeapi/forcetrigger?t=a1wzw7&amp;q=XNYS%3aLMT&amp;form=skydnc</v>
    <v>Learn more on Bing</v>
  </rv>
  <rv s="4">
    <v>en-GB</v>
    <v>a1wzw7</v>
    <v>268435456</v>
    <v>1</v>
    <v>Powered by Refinitiv</v>
    <v>5</v>
    <v>LOCKHEED MARTIN CORPORATION (XNYS:LMT)</v>
    <v>6</v>
    <v>7</v>
    <v>Finance</v>
    <v>8</v>
    <v>692</v>
    <v>410.11</v>
    <v>0.20580000000000001</v>
    <v>-0.495</v>
    <v>-1.085E-3</v>
    <v>-7.6630000000000003E-4</v>
    <v>-0.7</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123000</v>
    <v>New York Stock Exchange</v>
    <v>XNYS</v>
    <v>XNYS</v>
    <v>6801 ROCKLEDGE DR, BETHESDA, MD, 20817 US</v>
    <v>651.54999999999995</v>
    <v>Aerospace &amp; Defense</v>
    <v>Stock</v>
    <v>46097.863621978904</v>
    <v>4</v>
    <v>639</v>
    <v>148517919501</v>
    <v>LOCKHEED MARTIN CORPORATION</v>
    <v>LOCKHEED MARTIN CORPORATION</v>
    <v>645.22500000000002</v>
    <v>30.042899999999999</v>
    <v>646</v>
    <v>645.505</v>
    <v>644.5</v>
    <v>230080200</v>
    <v>LMT</v>
    <v>LOCKHEED MARTIN CORPORATION (XNYS:LMT)</v>
    <v>1179134</v>
    <v>1604568</v>
    <v>1994</v>
  </rv>
  <rv s="3">
    <v>5</v>
  </rv>
  <rv s="1">
    <v>https://www.bing.com/financeapi/forcetrigger?t=a2686h&amp;q=ARCX%3aXLP&amp;form=skydnc</v>
    <v>Learn more on Bing</v>
  </rv>
  <rv s="2">
    <v>en-GB</v>
    <v>a2686h</v>
    <v>268435456</v>
    <v>1</v>
    <v>Powered by Refinitiv</v>
    <v>0</v>
    <v>Sel Sector:C SSS SPDR I (ARCX:XLP)</v>
    <v>2</v>
    <v>3</v>
    <v>Finance</v>
    <v>4</v>
    <v>90.14</v>
    <v>75.16</v>
    <v>0.97219999999999995</v>
    <v>0.22</v>
    <v>2.7069999999999998E-3</v>
    <v>2.5959999999999998E-3</v>
    <v>0.23</v>
    <v>USD</v>
    <v>NYSE Arca</v>
    <v>ARCX</v>
    <v>8.0000000000000004E-4</v>
    <v>85.46</v>
    <v>ETF</v>
    <v>46097.864854015628</v>
    <v>7</v>
    <v>84.814999999999998</v>
    <v>17557141595.32</v>
    <v>Sel Sector:C SSS SPDR I</v>
    <v>85.21</v>
    <v>84.74</v>
    <v>84.96</v>
    <v>85.21</v>
    <v>XLP</v>
    <v>Sel Sector:C SSS SPDR I (ARCX:XLP)</v>
    <v>12876079</v>
    <v>22885168</v>
  </rv>
  <rv s="3">
    <v>8</v>
  </rv>
  <rv s="1">
    <v>https://www.bing.com/financeapi/forcetrigger?t=a1w8ec&amp;q=XNYS%3aJNJ&amp;form=skydnc</v>
    <v>Learn more on Bing</v>
  </rv>
  <rv s="4">
    <v>en-GB</v>
    <v>a1w8ec</v>
    <v>268435456</v>
    <v>1</v>
    <v>Powered by Refinitiv</v>
    <v>5</v>
    <v>JOHNSON &amp; JOHNSON (XNYS:JNJ)</v>
    <v>6</v>
    <v>7</v>
    <v>Finance</v>
    <v>8</v>
    <v>251.71</v>
    <v>141.5</v>
    <v>0.33500000000000002</v>
    <v>1.67</v>
    <v>1.542E-3</v>
    <v>6.9150000000000001E-3</v>
    <v>0.375</v>
    <v>USD</v>
    <v>Johnson &amp; Johnson and its subsidiaries are engaged in the research and development, manufacture, and sale of a range of products in the healthcare field. The Company’s segments include Innovative Medicine and MedTech. The Innovative Medicine segment is focused on various therapeutic areas, including immunology, infectious diseases, neuroscience, oncology, pulmonary hypertension, cardiovascular and metabolism. Its products include REMICADE (infliximab), SIMPONI (golimumab), SIMPONI ARIA (golimumab), STELARA (ustekinumab), TREMFYA (guselkumab), EDURANT (rilpivirine), and INVEGA SUSTENNA/XEPLION (paliperidone palmitate). The MedTech segment includes a portfolio of products used in cardiovascular, orthopedics, surgery, and vision categories. The Cardiovascular portfolio includes electrophysiology products to treat heart rhythm disorders and circulatory restoration products (Shockwave) for the treatment of calcified coronary artery disease (CAD) and peripheral artery disease (PAD).</v>
    <v>138200</v>
    <v>New York Stock Exchange</v>
    <v>XNYS</v>
    <v>XNYS</v>
    <v>One Johnson &amp; Johnson Plaza, NEW BRUNSWICK, NJ, 08933 US</v>
    <v>245.05500000000001</v>
    <v>Pharmaceuticals</v>
    <v>Stock</v>
    <v>46097.864811851563</v>
    <v>10</v>
    <v>241.67</v>
    <v>585750595470</v>
    <v>JOHNSON &amp; JOHNSON</v>
    <v>JOHNSON &amp; JOHNSON</v>
    <v>243.92</v>
    <v>22.023700000000002</v>
    <v>241.52</v>
    <v>243.19</v>
    <v>243.565</v>
    <v>2408613000</v>
    <v>JNJ</v>
    <v>JOHNSON &amp; JOHNSON (XNYS:JNJ)</v>
    <v>7569278</v>
    <v>8739452</v>
    <v>1887</v>
  </rv>
  <rv s="3">
    <v>11</v>
  </rv>
  <rv s="1">
    <v>https://www.bing.com/financeapi/forcetrigger?t=a1zsjc&amp;q=XNYS%3aPG&amp;form=skydnc</v>
    <v>Learn more on Bing</v>
  </rv>
  <rv s="4">
    <v>en-GB</v>
    <v>a1zsjc</v>
    <v>268435456</v>
    <v>1</v>
    <v>Powered by Refinitiv</v>
    <v>5</v>
    <v>THE PROCTER &amp; GAMBLE COMPANY (XNYS:PG)</v>
    <v>6</v>
    <v>7</v>
    <v>Finance</v>
    <v>8</v>
    <v>174.8</v>
    <v>137.62</v>
    <v>0.37540000000000001</v>
    <v>1.46</v>
    <v>-1.7749999999999999E-3</v>
    <v>9.691E-3</v>
    <v>-0.27</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109000</v>
    <v>New York Stock Exchange</v>
    <v>XNYS</v>
    <v>XNYS</v>
    <v>One Procter &amp; Gamble Plaza, CINCINNATI, OH, 45202 US</v>
    <v>152.6386</v>
    <v>Personal &amp; Household Products &amp; Services</v>
    <v>Stock</v>
    <v>46097.862279560155</v>
    <v>13</v>
    <v>150.65</v>
    <v>353503792110</v>
    <v>THE PROCTER &amp; GAMBLE COMPANY</v>
    <v>THE PROCTER &amp; GAMBLE COMPANY</v>
    <v>151.86000000000001</v>
    <v>22.538499999999999</v>
    <v>150.65</v>
    <v>152.11000000000001</v>
    <v>151.85</v>
    <v>2324001000</v>
    <v>PG</v>
    <v>THE PROCTER &amp; GAMBLE COMPANY (XNYS:PG)</v>
    <v>6830474</v>
    <v>10597184</v>
    <v>1905</v>
  </rv>
  <rv s="3">
    <v>14</v>
  </rv>
  <rv s="1">
    <v>https://www.bing.com/financeapi/forcetrigger?t=a25ya2&amp;q=XNYS%3aWMT&amp;form=skydnc</v>
    <v>Learn more on Bing</v>
  </rv>
  <rv s="4">
    <v>en-GB</v>
    <v>a25ya2</v>
    <v>268435456</v>
    <v>1</v>
    <v>Powered by Refinitiv</v>
    <v>5</v>
    <v>WALMART INC. (XNAS:WMT)</v>
    <v>6</v>
    <v>7</v>
    <v>Finance</v>
    <v>8</v>
    <v>134.69</v>
    <v>79.81</v>
    <v>0.65749999999999997</v>
    <v>-0.53</v>
    <v>-1.32E-3</v>
    <v>-4.189E-3</v>
    <v>-0.1663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Nasdaq Stock Market</v>
    <v>XNAS</v>
    <v>XNAS</v>
    <v>1 Customer Drive, BENTONVILLE, AR, 72716 US</v>
    <v>126.98</v>
    <v>Food &amp; Drug Retailing</v>
    <v>Stock</v>
    <v>46097.864119189064</v>
    <v>16</v>
    <v>124.83</v>
    <v>1004161340330</v>
    <v>WALMART INC.</v>
    <v>WALMART INC.</v>
    <v>126.76</v>
    <v>46.155299999999997</v>
    <v>126.52</v>
    <v>125.99</v>
    <v>125.8237</v>
    <v>7970167000</v>
    <v>WMT</v>
    <v>WALMART INC. (XNAS:WMT)</v>
    <v>20336457</v>
    <v>24491721</v>
    <v>1969</v>
  </rv>
  <rv s="3">
    <v>17</v>
  </rv>
  <rv s="1">
    <v>https://www.bing.com/financeapi/forcetrigger?t=a268f2&amp;q=ARCX%3aXLU&amp;form=skydnc</v>
    <v>Learn more on Bing</v>
  </rv>
  <rv s="2">
    <v>en-GB</v>
    <v>a268f2</v>
    <v>268435456</v>
    <v>1</v>
    <v>Powered by Refinitiv</v>
    <v>0</v>
    <v>Sel Sector:Utl SS SPDR (ARCX:XLU)</v>
    <v>2</v>
    <v>3</v>
    <v>Finance</v>
    <v>4</v>
    <v>47.8</v>
    <v>35.51</v>
    <v>0.99750000000000005</v>
    <v>0.28999999999999998</v>
    <v>-1.2700000000000001E-3</v>
    <v>6.1750000000000008E-3</v>
    <v>-0.06</v>
    <v>USD</v>
    <v>NYSE Arca</v>
    <v>ARCX</v>
    <v>8.0000000000000004E-4</v>
    <v>47.5</v>
    <v>ETF</v>
    <v>46097.862756678122</v>
    <v>19</v>
    <v>46.95</v>
    <v>24356755083.259998</v>
    <v>Sel Sector:Utl SS SPDR</v>
    <v>47.45</v>
    <v>46.96</v>
    <v>47.25</v>
    <v>47.2</v>
    <v>XLU</v>
    <v>Sel Sector:Utl SS SPDR (ARCX:XLU)</v>
    <v>19623669</v>
    <v>30879343</v>
  </rv>
  <rv s="3">
    <v>20</v>
  </rv>
  <rv s="1">
    <v>https://www.bing.com/financeapi/forcetrigger?t=a24kjc&amp;q=XNYS%3aTSM&amp;form=skydnc</v>
    <v>Learn more on Bing</v>
  </rv>
  <rv s="4">
    <v>en-GB</v>
    <v>a24kjc</v>
    <v>268435456</v>
    <v>1</v>
    <v>Powered by Refinitiv</v>
    <v>5</v>
    <v>Taiwan Semiconductor Manufacturing Co., Ltd. (XNYS:TSM)</v>
    <v>6</v>
    <v>7</v>
    <v>Finance</v>
    <v>8</v>
    <v>390.20499999999998</v>
    <v>134.25</v>
    <v>1.355</v>
    <v>1.85</v>
    <v>-1.176E-3</v>
    <v>5.4679999999999998E-3</v>
    <v>-0.4</v>
    <v>USD</v>
    <v>Taiwan Semiconductor Manufacturing Co Ltd is a Taiwan-based integrated circuit foundry service provider. The Company is primarily engaged in integrated circuit manufacturing services. It offers advanced process technologies, specialised process solutions, advanced photomask and silicon stacking, and packaging-related technologies, while supporting a comprehensive design ecosystem. The Company's products serve diverse electronic sectors including artificial intelligence, high-performance computing, wired and wireless communications, automotive and industrial equipment, personal computing, information applications, consumer electronics, smart internet of things, and wearable devices.</v>
    <v>52045</v>
    <v>New York Stock Exchange</v>
    <v>XNYS</v>
    <v>XNYS</v>
    <v>No.8, Li-Hsin 6th Road, Hsinchu Science Park, HSINCHU, HSINCHU, 300 TW</v>
    <v>344.63</v>
    <v>Semiconductors &amp; Semiconductor Equipment</v>
    <v>Stock</v>
    <v>46097.864785346872</v>
    <v>22</v>
    <v>339.82</v>
    <v>1764241540800</v>
    <v>Taiwan Semiconductor Manufacturing Co., Ltd.</v>
    <v>Taiwan Semiconductor Manufacturing Co., Ltd.</v>
    <v>341.25</v>
    <v>32.175899999999999</v>
    <v>338.31</v>
    <v>340.16</v>
    <v>339.83</v>
    <v>5186505000</v>
    <v>TSM</v>
    <v>Taiwan Semiconductor Manufacturing Co., Ltd. (XNYS:TSM)</v>
    <v>11054340</v>
    <v>13338183</v>
    <v>1987</v>
  </rv>
  <rv s="3">
    <v>23</v>
  </rv>
  <rv s="1">
    <v>https://www.bing.com/financeapi/forcetrigger?t=a1y4oc&amp;q=XNAS%3aMU&amp;form=skydnc</v>
    <v>Learn more on Bing</v>
  </rv>
  <rv s="4">
    <v>en-GB</v>
    <v>a1y4oc</v>
    <v>268435456</v>
    <v>1</v>
    <v>Powered by Refinitiv</v>
    <v>5</v>
    <v>MICRON TECHNOLOGY, INC. (XNAS:MU)</v>
    <v>6</v>
    <v>7</v>
    <v>Finance</v>
    <v>8</v>
    <v>455.5</v>
    <v>61.54</v>
    <v>1.5144</v>
    <v>15.67</v>
    <v>5.0699999999999999E-3</v>
    <v>3.6773E-2</v>
    <v>2.2400000000000002</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Cloud Memory Business Unit (CMBU), Core Data Center Business Unit (CDBU), Mobile and Client Business Unit (MCBU) and Automotive and Embedded Business Unit (AEBU). CMBU is focused on memory solutions for large hyperscale cloud customers, and high bandwidth memory (HBM) for all data center customers. CDBU is focused on memory solutions for mid-tier cloud, enterprise, and OEM data center customers and storage solutions for all data center customers. MCBU is focused on memory and storage solutions for mobile and client segments. AEBU is focused on memory and storage solutions for the automotive, industrial, and consumer segments.</v>
    <v>53000</v>
    <v>Nasdaq Stock Market</v>
    <v>XNAS</v>
    <v>XNAS</v>
    <v>8000 S Federal Way, Po Box 6, BOISE, ID, 83716-9632 US</v>
    <v>454.86</v>
    <v>Semiconductors &amp; Semiconductor Equipment</v>
    <v>Stock</v>
    <v>46097.864988471876</v>
    <v>25</v>
    <v>437.745</v>
    <v>497249876200</v>
    <v>MICRON TECHNOLOGY, INC.</v>
    <v>MICRON TECHNOLOGY, INC.</v>
    <v>446.16</v>
    <v>41.996200000000002</v>
    <v>426.13</v>
    <v>441.8</v>
    <v>444.04</v>
    <v>1125509000</v>
    <v>MU</v>
    <v>MICRON TECHNOLOGY, INC. (XNAS:MU)</v>
    <v>42254320</v>
    <v>33230103</v>
    <v>1984</v>
  </rv>
  <rv s="3">
    <v>26</v>
  </rv>
  <rv s="1">
    <v>https://www.bing.com/financeapi/forcetrigger?t=bvsk7w&amp;q=XNYS%3aPLTR&amp;form=skydnc</v>
    <v>Learn more on Bing</v>
  </rv>
  <rv s="4">
    <v>en-GB</v>
    <v>bvsk7w</v>
    <v>268435456</v>
    <v>1</v>
    <v>Powered by Refinitiv</v>
    <v>5</v>
    <v>PALANTIR TECHNOLOGIES INC. (XNAS:PLTR)</v>
    <v>6</v>
    <v>7</v>
    <v>Finance</v>
    <v>8</v>
    <v>207.52</v>
    <v>66.12</v>
    <v>1.6860999999999999</v>
    <v>1.77</v>
    <v>-2.2919999999999998E-3</v>
    <v>1.1726E-2</v>
    <v>-0.35</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4429</v>
    <v>Nasdaq Stock Market</v>
    <v>XNAS</v>
    <v>XNAS</v>
    <v>1200 17Th Street, Floor 15, DENVER, CO, 80202 US</v>
    <v>153.86000000000001</v>
    <v>Software &amp; IT Services</v>
    <v>Stock</v>
    <v>46097.864894270315</v>
    <v>28</v>
    <v>151.16999999999999</v>
    <v>365103275120</v>
    <v>PALANTIR TECHNOLOGIES INC.</v>
    <v>PALANTIR TECHNOLOGIES INC.</v>
    <v>152.44999999999999</v>
    <v>238.54300000000001</v>
    <v>150.94999999999999</v>
    <v>152.72</v>
    <v>152.37</v>
    <v>2390671000</v>
    <v>PLTR</v>
    <v>PALANTIR TECHNOLOGIES INC. (XNAS:PLTR)</v>
    <v>32753447</v>
    <v>54645039</v>
    <v>2003</v>
  </rv>
  <rv s="3">
    <v>29</v>
  </rv>
  <rv s="1">
    <v>https://www.bing.com/financeapi/forcetrigger?t=a1waa2&amp;q=XNYS%3aJPM&amp;form=skydnc</v>
    <v>Learn more on Bing</v>
  </rv>
  <rv s="4">
    <v>en-GB</v>
    <v>a1waa2</v>
    <v>268435456</v>
    <v>1</v>
    <v>Powered by Refinitiv</v>
    <v>5</v>
    <v>JPMORGAN CHASE &amp; CO. (XNYS:JPM)</v>
    <v>6</v>
    <v>7</v>
    <v>Finance</v>
    <v>8</v>
    <v>337.25</v>
    <v>202.16</v>
    <v>1.0673999999999999</v>
    <v>2.67</v>
    <v>0</v>
    <v>9.4199999999999996E-3</v>
    <v>0</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318512</v>
    <v>New York Stock Exchange</v>
    <v>XNYS</v>
    <v>XNYS</v>
    <v>270 Park Avenue, NEW YORK, NY, 10017 US</v>
    <v>289.26990000000001</v>
    <v>Banking Services</v>
    <v>Stock</v>
    <v>46097.865001272658</v>
    <v>31</v>
    <v>284.61</v>
    <v>771647825520</v>
    <v>JPMORGAN CHASE &amp; CO.</v>
    <v>JPMORGAN CHASE &amp; CO.</v>
    <v>286.33999999999997</v>
    <v>14.297800000000001</v>
    <v>283.44</v>
    <v>286.11</v>
    <v>286.16000000000003</v>
    <v>2697032000</v>
    <v>JPM</v>
    <v>JPMORGAN CHASE &amp; CO. (XNYS:JPM)</v>
    <v>8129356</v>
    <v>10720935</v>
    <v>1968</v>
  </rv>
  <rv s="3">
    <v>32</v>
  </rv>
  <rv s="1">
    <v>https://www.bing.com/financeapi/forcetrigger?t=a1nhlh&amp;q=XNAS%3aAMZN&amp;form=skydnc</v>
    <v>Learn more on Bing</v>
  </rv>
  <rv s="4">
    <v>en-GB</v>
    <v>a1nhlh</v>
    <v>268435456</v>
    <v>1</v>
    <v>Powered by Refinitiv</v>
    <v>5</v>
    <v>AMAZON.COM, INC. (XNAS:AMZN)</v>
    <v>6</v>
    <v>7</v>
    <v>Finance</v>
    <v>8</v>
    <v>258.60000000000002</v>
    <v>161.38</v>
    <v>1.4017999999999999</v>
    <v>4.07</v>
    <v>-6.6120000000000003E-4</v>
    <v>1.9598000000000001E-2</v>
    <v>-0.14000000000000001</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212.72399999999999</v>
    <v>Diversified Retail</v>
    <v>Stock</v>
    <v>46097.864931168748</v>
    <v>34</v>
    <v>207.44499999999999</v>
    <v>2273011960800</v>
    <v>AMAZON.COM, INC.</v>
    <v>AMAZON.COM, INC.</v>
    <v>208.35</v>
    <v>29.522300000000001</v>
    <v>207.67</v>
    <v>211.74</v>
    <v>211.6</v>
    <v>10734920000</v>
    <v>AMZN</v>
    <v>AMAZON.COM, INC. (XNAS:AMZN)</v>
    <v>42085117</v>
    <v>59105239</v>
    <v>1996</v>
  </rv>
  <rv s="3">
    <v>35</v>
  </rv>
  <rv s="1">
    <v>https://www.bing.com/financeapi/forcetrigger?t=a1u3rw&amp;q=XNAS%3aGOOGL&amp;form=skydnc</v>
    <v>Learn more on Bing</v>
  </rv>
  <rv s="4">
    <v>en-GB</v>
    <v>a1u3rw</v>
    <v>268435456</v>
    <v>1</v>
    <v>Powered by Refinitiv</v>
    <v>5</v>
    <v>ALPHABET INC. (XNAS:GOOGL)</v>
    <v>6</v>
    <v>7</v>
    <v>Finance</v>
    <v>8</v>
    <v>349</v>
    <v>140.53</v>
    <v>1.1122000000000001</v>
    <v>3.28</v>
    <v>-1.3089999999999998E-3</v>
    <v>1.0851E-2</v>
    <v>-0.4</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306.48860000000002</v>
    <v>Software &amp; IT Services</v>
    <v>Stock</v>
    <v>46097.864924675778</v>
    <v>37</v>
    <v>303.02010000000001</v>
    <v>3696359320000</v>
    <v>ALPHABET INC.</v>
    <v>ALPHABET INC.</v>
    <v>304.35000000000002</v>
    <v>28.266400000000001</v>
    <v>302.27999999999997</v>
    <v>305.56</v>
    <v>305.16000000000003</v>
    <v>12097000000</v>
    <v>GOOGL</v>
    <v>ALPHABET INC. (XNAS:GOOGL)</v>
    <v>23470221</v>
    <v>34726339</v>
    <v>2015</v>
  </rv>
  <rv s="3">
    <v>38</v>
  </rv>
  <rv s="1">
    <v>https://www.bing.com/financeapi/forcetrigger?t=a1tr1h&amp;q=XNYS%3aGE&amp;form=skydnc</v>
    <v>Learn more on Bing</v>
  </rv>
  <rv s="4">
    <v>en-GB</v>
    <v>a1tr1h</v>
    <v>268435456</v>
    <v>1</v>
    <v>Powered by Refinitiv</v>
    <v>5</v>
    <v>GENERAL ELECTRIC COMPANY (XNYS:GE)</v>
    <v>6</v>
    <v>7</v>
    <v>Finance</v>
    <v>8</v>
    <v>348.48</v>
    <v>159.36000000000001</v>
    <v>1.4224000000000001</v>
    <v>4.41</v>
    <v>3.2890000000000003E-4</v>
    <v>1.4715000000000001E-2</v>
    <v>0.1</v>
    <v>USD</v>
    <v>General Electric Company, doing business as GE Aerospace, is a global aerospace propulsion, services, and systems company. The Company has an installed base of approximately 50,000 commercial and 30,000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57000</v>
    <v>New York Stock Exchange</v>
    <v>XNYS</v>
    <v>XNYS</v>
    <v>1 Neumann Way, Evendale, OH, 45215 US</v>
    <v>305.7</v>
    <v>Aerospace &amp; Defense</v>
    <v>Stock</v>
    <v>46097.864620253909</v>
    <v>40</v>
    <v>300.14999999999998</v>
    <v>317732803000</v>
    <v>GENERAL ELECTRIC COMPANY</v>
    <v>GENERAL ELECTRIC COMPANY</v>
    <v>303.77</v>
    <v>37.746899999999997</v>
    <v>299.69</v>
    <v>304.10000000000002</v>
    <v>304.10000000000002</v>
    <v>1044830000</v>
    <v>GE</v>
    <v>GENERAL ELECTRIC COMPANY (XNYS:GE)</v>
    <v>6246170</v>
    <v>5134767</v>
    <v>1892</v>
  </rv>
  <rv s="3">
    <v>41</v>
  </rv>
  <rv s="1">
    <v>https://www.bing.com/financeapi/forcetrigger?t=bxb5m7&amp;q=XNYS%3aIONQ&amp;form=skydnc</v>
    <v>Learn more on Bing</v>
  </rv>
  <rv s="4">
    <v>en-GB</v>
    <v>bxb5m7</v>
    <v>268435456</v>
    <v>1</v>
    <v>Powered by Refinitiv</v>
    <v>5</v>
    <v>IONQ, INC. (XNYS:IONQ)</v>
    <v>6</v>
    <v>7</v>
    <v>Finance</v>
    <v>8</v>
    <v>84.64</v>
    <v>18.809999999999999</v>
    <v>2.7578999999999998</v>
    <v>0.31</v>
    <v>2.1029999999999998E-3</v>
    <v>9.3999999999999986E-3</v>
    <v>7.0000000000000007E-2</v>
    <v>USD</v>
    <v>IonQ, Inc. is engaged in the quantum computing and networking industry, delivering high-performance systems capable of solving complex commercial and research use cases. Its generation quantum computers, IonQ Forte and IonQ Forte Enterprise, are cutting-edge systems, boasting 36 algorithmic qubits. It sells specialized quantum computing and networking hardware together with related maintenance and support. It also sells access to several quantum computers of various qubit capacities and is in the process of researching and developing technologies for quantum computers with increasing computational capabilities. It makes access to its quantum computers available via three cloud platforms, Amazon Web Services' (AWS) Amazon Braket, Microsoft's Azure Quantum and Google's Cloud Marketplace, and also to select customers via its own cloud service. Its product portfolio also includes quantum key distribution (QKD) systems, quantum random number generators (QRNGs), and single-photon detectors.</v>
    <v>1132</v>
    <v>New York Stock Exchange</v>
    <v>XNYS</v>
    <v>XNYS</v>
    <v>4505 Campus Drive, Suite 100, COLLEGE PARK, MD, 20740 US</v>
    <v>34.409999999999997</v>
    <v>Computers, Phones &amp; Household Electronics</v>
    <v>Stock</v>
    <v>46097.864985671091</v>
    <v>43</v>
    <v>32.39</v>
    <v>12205468903</v>
    <v>IONQ, INC.</v>
    <v>IONQ, INC.</v>
    <v>33.520000000000003</v>
    <v>0</v>
    <v>32.979999999999997</v>
    <v>33.29</v>
    <v>33.36</v>
    <v>366640700</v>
    <v>IONQ</v>
    <v>IONQ, INC. (XNYS:IONQ)</v>
    <v>19233079</v>
    <v>22389074</v>
    <v>2020</v>
  </rv>
  <rv s="3">
    <v>44</v>
  </rv>
  <rv s="1">
    <v>https://www.bing.com/financeapi/forcetrigger?t=a267oc&amp;q=ARCX%3aXLE&amp;form=skydnc</v>
    <v>Learn more on Bing</v>
  </rv>
  <rv s="2">
    <v>en-GB</v>
    <v>a267oc</v>
    <v>268435456</v>
    <v>1</v>
    <v>Powered by Refinitiv</v>
    <v>0</v>
    <v>Sel Sector:Enrgy SS SPDR (ARCX:XLE)</v>
    <v>2</v>
    <v>3</v>
    <v>Finance</v>
    <v>4</v>
    <v>58.215000000000003</v>
    <v>37.244999999999997</v>
    <v>1.1236999999999999</v>
    <v>0.2</v>
    <v>2.7560000000000002E-3</v>
    <v>3.4660000000000003E-3</v>
    <v>0.15959999999999999</v>
    <v>USD</v>
    <v>NYSE Arca</v>
    <v>ARCX</v>
    <v>8.0000000000000004E-4</v>
    <v>58.1</v>
    <v>ETF</v>
    <v>46097.86345053203</v>
    <v>46</v>
    <v>57.27</v>
    <v>37876244903.099998</v>
    <v>Sel Sector:Enrgy SS SPDR</v>
    <v>57.76</v>
    <v>57.7</v>
    <v>57.9</v>
    <v>58.059600000000003</v>
    <v>XLE</v>
    <v>Sel Sector:Enrgy SS SPDR (ARCX:XLE)</v>
    <v>39385530</v>
    <v>63666004</v>
  </rv>
  <rv s="3">
    <v>47</v>
  </rv>
  <rv s="1">
    <v>https://www.bing.com/financeapi/forcetrigger?t=a269ec&amp;q=XNYS%3aXOM&amp;form=skydnc</v>
    <v>Learn more on Bing</v>
  </rv>
  <rv s="4">
    <v>en-GB</v>
    <v>a269ec</v>
    <v>268435456</v>
    <v>1</v>
    <v>Powered by Refinitiv</v>
    <v>5</v>
    <v>EXXON MOBIL CORPORATION (XNYS:XOM)</v>
    <v>6</v>
    <v>7</v>
    <v>Finance</v>
    <v>8</v>
    <v>159.60499999999999</v>
    <v>97.8</v>
    <v>0.34039999999999998</v>
    <v>1.1000000000000001</v>
    <v>1.272E-4</v>
    <v>7.0460000000000002E-3</v>
    <v>0.02</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157.78</v>
    <v>Oil &amp; Gas</v>
    <v>Stock</v>
    <v>46097.864851724218</v>
    <v>49</v>
    <v>154.76</v>
    <v>655098636080</v>
    <v>EXXON MOBIL CORPORATION</v>
    <v>EXXON MOBIL CORPORATION</v>
    <v>156</v>
    <v>23.534199999999998</v>
    <v>156.12</v>
    <v>157.22</v>
    <v>157.25</v>
    <v>4166764000</v>
    <v>XOM</v>
    <v>EXXON MOBIL CORPORATION (XNYS:XOM)</v>
    <v>22229753</v>
    <v>21276923</v>
    <v>1882</v>
  </rv>
  <rv s="3">
    <v>50</v>
  </rv>
  <rv s="1">
    <v>https://www.bing.com/financeapi/forcetrigger?t=a246z2&amp;q=XNYS%3aTGT&amp;form=skydnc</v>
    <v>Learn more on Bing</v>
  </rv>
  <rv s="4">
    <v>en-GB</v>
    <v>a246z2</v>
    <v>268435456</v>
    <v>1</v>
    <v>Powered by Refinitiv</v>
    <v>5</v>
    <v>TARGET CORPORATION (XNYS:TGT)</v>
    <v>6</v>
    <v>7</v>
    <v>Finance</v>
    <v>8</v>
    <v>126</v>
    <v>83.44</v>
    <v>1.069</v>
    <v>-0.25</v>
    <v>7.1919999999999996E-3</v>
    <v>-2.1310000000000001E-3</v>
    <v>0.84179999999999999</v>
    <v>USD</v>
    <v>Target Corporation is a general merchandise retailer selling products to its guests through its stores and digital channels. The Company offers customers, referred to as guests, everyday essentials and fashionable, differentiated merchandise at discounted prices. The majority of its stores offer a wide assortment of general merchandise and food. Its merchandise categories include apparel and accessories, beauty and household essentials, food and beverage, hardlines, and home furnishings and decor. Most of its stores are larger than 170,000 square feet, offer a variety of general merchandise and a full line of food items comparable to traditional supermarkets. Its digital channels include a wide merchandise and food assortment, including many items found in its stores, along with a complementary assortment sold by the Company and third parties. Its brands include A New Day, Ava &amp; Viv, Cloud Island, Favorite Day, and others. It serves guests at nearly 2,000 stores and at Target.com.</v>
    <v>415000</v>
    <v>New York Stock Exchange</v>
    <v>XNYS</v>
    <v>XNYS</v>
    <v>1000 Nicollet Mall, MINNEAPOLIS, MN, 55403 US</v>
    <v>118.45</v>
    <v>Diversified Retail</v>
    <v>Stock</v>
    <v>46097.855635196094</v>
    <v>52</v>
    <v>116</v>
    <v>53024862204</v>
    <v>TARGET CORPORATION</v>
    <v>TARGET CORPORATION</v>
    <v>118</v>
    <v>14.207700000000001</v>
    <v>117.34</v>
    <v>117.09</v>
    <v>117.8918</v>
    <v>452855600</v>
    <v>TGT</v>
    <v>TARGET CORPORATION (XNYS:TGT)</v>
    <v>4833831</v>
    <v>6341895</v>
    <v>1902</v>
  </rv>
  <rv s="3">
    <v>53</v>
  </rv>
  <rv s="1">
    <v>https://www.bing.com/financeapi/forcetrigger?t=a1vtr7&amp;q=BATS%3aITA&amp;form=skydnc</v>
    <v>Learn more on Bing</v>
  </rv>
  <rv s="2">
    <v>en-GB</v>
    <v>a1vtr7</v>
    <v>268435456</v>
    <v>1</v>
    <v>Powered by Refinitiv</v>
    <v>0</v>
    <v>iShares:US Aer&amp;Def ETF (BATS:ITA)</v>
    <v>2</v>
    <v>3</v>
    <v>Finance</v>
    <v>4</v>
    <v>250.65</v>
    <v>129.13999999999999</v>
    <v>0.94530000000000003</v>
    <v>3.54</v>
    <v>-4.295E-5</v>
    <v>1.5436E-2</v>
    <v>-0.01</v>
    <v>USD</v>
    <v>CBOE BZX Exchange</v>
    <v>BATS</v>
    <v>3.8E-3</v>
    <v>233.91</v>
    <v>ETF</v>
    <v>46097.864802777345</v>
    <v>55</v>
    <v>231.1</v>
    <v>16010935446.83</v>
    <v>iShares:US Aer&amp;Def ETF</v>
    <v>231.12</v>
    <v>229.34</v>
    <v>232.88</v>
    <v>232.8</v>
    <v>ITA</v>
    <v>iShares:US Aer&amp;Def ETF (BATS:ITA)</v>
    <v>1613337</v>
    <v>1487441</v>
  </rv>
  <rv s="3">
    <v>56</v>
  </rv>
  <rv s="1">
    <v>https://www.bing.com/financeapi/forcetrigger?t=a26dyc&amp;q=XNAS%3aYNDX&amp;form=skydnc</v>
    <v>Learn more on Bing</v>
  </rv>
  <rv s="4">
    <v>en-GB</v>
    <v>a26dyc</v>
    <v>268435456</v>
    <v>1</v>
    <v>Powered by Refinitiv</v>
    <v>5</v>
    <v>Nebius Group NV (XNAS:NBIS)</v>
    <v>6</v>
    <v>7</v>
    <v>Finance</v>
    <v>8</v>
    <v>141.1</v>
    <v>18.309999999999999</v>
    <v>-12.587999999999999</v>
    <v>16.899999999999999</v>
    <v>2.0080000000000002E-3</v>
    <v>0.14962400000000001</v>
    <v>0.26069999999999999</v>
    <v>USD</v>
    <v>Nebius Group NV is a Netherlands-based infrastructure company operating in the technology industry. The Company is engaged in developing a portfolio of artificial intelligence-related technology assets. It is involved in creating an artificial intelligence-centric player to integrate the essential elements of artificial intelligence development with infrastructure, data and advisory globally. It offers products and services such as a cloud platform for artificial intelligence-related workloads, development team services for autonomous vehicles, development of generative artificial intelligence. Nebius builds full-stack infrastructure to service the growth of the global AI industry, including GPU clusters, cloud platforms and tools and services for developers. Company is developing three other businesses that operate under their own brands: Toloka AI, TripleTen and Avride.</v>
    <v>1371</v>
    <v>Nasdaq Stock Market</v>
    <v>XNAS</v>
    <v>XNAS</v>
    <v>Schiphol Boulevard 165, SCHIPHOL, NOORD-HOLLAND, 1118BG NL</v>
    <v>132.30000000000001</v>
    <v>Professional &amp; Commercial Services</v>
    <v>Stock</v>
    <v>46097.864938830469</v>
    <v>58</v>
    <v>124.423</v>
    <v>32854257450</v>
    <v>Nebius Group NV</v>
    <v>Nebius Group NV</v>
    <v>124.75</v>
    <v>779.41179999999997</v>
    <v>112.95</v>
    <v>129.85</v>
    <v>130.11070000000001</v>
    <v>253017000</v>
    <v>NBIS</v>
    <v>Nebius Group NV (XNAS:NBIS)</v>
    <v>34366741</v>
    <v>13925590</v>
    <v>2004</v>
  </rv>
  <rv s="3">
    <v>59</v>
  </rv>
  <rv s="1">
    <v>https://www.bing.com/financeapi/forcetrigger?t=a1yv52&amp;q=XNAS%3aNVDA&amp;form=skydnc</v>
    <v>Learn more on Bing</v>
  </rv>
  <rv s="4">
    <v>en-GB</v>
    <v>a1yv52</v>
    <v>268435456</v>
    <v>1</v>
    <v>Powered by Refinitiv</v>
    <v>5</v>
    <v>NVIDIA CORPORATION (XNAS:NVDA)</v>
    <v>6</v>
    <v>7</v>
    <v>Finance</v>
    <v>8</v>
    <v>212.18989999999999</v>
    <v>86.62</v>
    <v>2.3450000000000002</v>
    <v>2.9367999999999999</v>
    <v>-3.9839999999999997E-3</v>
    <v>1.6292999999999998E-2</v>
    <v>-0.73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42000</v>
    <v>Nasdaq Stock Market</v>
    <v>XNAS</v>
    <v>XNAS</v>
    <v>2788 San Tomas Expressway, SANTA CLARA, CA, 95051 US</v>
    <v>188.88</v>
    <v>Semiconductors &amp; Semiconductor Equipment</v>
    <v>Stock</v>
    <v>46097.865060497657</v>
    <v>61</v>
    <v>181.41</v>
    <v>4451439240000</v>
    <v>NVIDIA CORPORATION</v>
    <v>NVIDIA CORPORATION</v>
    <v>182.97</v>
    <v>37.371299999999998</v>
    <v>180.25</v>
    <v>183.18680000000001</v>
    <v>182.49</v>
    <v>24300000000</v>
    <v>NVDA</v>
    <v>NVIDIA CORPORATION (XNAS:NVDA)</v>
    <v>215338815</v>
    <v>189335825</v>
    <v>1998</v>
  </rv>
  <rv s="3">
    <v>62</v>
  </rv>
  <rv s="1">
    <v>http://en.wikipedia.org/wiki/Public_domain</v>
    <v>Public domain</v>
  </rv>
  <rv s="1">
    <v>http://pt.wikipedia.org/wiki/Oracle_Corporation</v>
    <v>Wikipedia</v>
  </rv>
  <rv s="5">
    <v>64</v>
    <v>65</v>
  </rv>
  <rv s="6">
    <v>13</v>
    <v>https://www.bing.com/th?id=AMMS_672116c618c664d13b2515d6587ba357&amp;qlt=95</v>
    <v>66</v>
    <v>0</v>
    <v>https://www.bing.com/images/search?form=xlimg&amp;q=oracle+corporation</v>
    <v>Image of ORACLE CORPORATION</v>
  </rv>
  <rv s="1">
    <v>https://www.bing.com/financeapi/forcetrigger?t=a1zbec&amp;q=XNYS%3aORCL&amp;form=skydnc</v>
    <v>Learn more on Bing</v>
  </rv>
  <rv s="7">
    <v>en-GB</v>
    <v>a1zbec</v>
    <v>268435456</v>
    <v>1</v>
    <v>Powered by Refinitiv</v>
    <v>9</v>
    <v>ORACLE CORPORATION (XNYS:ORCL)</v>
    <v>11</v>
    <v>12</v>
    <v>Finance</v>
    <v>8</v>
    <v>345.72</v>
    <v>118.86</v>
    <v>1.597</v>
    <v>0.84050000000000002</v>
    <v>-2.2309999999999999E-3</v>
    <v>5.4190000000000002E-3</v>
    <v>-0.34799999999999998</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158.74</v>
    <v>67</v>
    <v>Software &amp; IT Services</v>
    <v>Stock</v>
    <v>46097.864737106247</v>
    <v>68</v>
    <v>154.5104</v>
    <v>448520811723</v>
    <v>ORACLE CORPORATION</v>
    <v>ORACLE CORPORATION</v>
    <v>156.06</v>
    <v>27.596</v>
    <v>155.11000000000001</v>
    <v>155.95050000000001</v>
    <v>155.62200000000001</v>
    <v>2876046000</v>
    <v>ORCL</v>
    <v>ORACLE CORPORATION (XNYS:ORCL)</v>
    <v>21528020</v>
    <v>30182409</v>
    <v>2005</v>
  </rv>
  <rv s="3">
    <v>69</v>
  </rv>
  <rv s="1">
    <v>https://www.bing.com/financeapi/forcetrigger?t=a1v4jc&amp;q=XNAS%3aIBB&amp;form=skydnc</v>
    <v>Learn more on Bing</v>
  </rv>
  <rv s="2">
    <v>en-GB</v>
    <v>a1v4jc</v>
    <v>268435456</v>
    <v>1</v>
    <v>Powered by Refinitiv</v>
    <v>0</v>
    <v>iShares:Biotechnology (XNAS:IBB)</v>
    <v>2</v>
    <v>3</v>
    <v>Finance</v>
    <v>14</v>
    <v>179.64</v>
    <v>107.43</v>
    <v>0.98740000000000006</v>
    <v>1.63</v>
    <v>-1.5559999999999999E-3</v>
    <v>9.8480000000000009E-3</v>
    <v>-0.26</v>
    <v>USD</v>
    <v>Nasdaq Stock Market</v>
    <v>XNAS</v>
    <v>4.4000000000000003E-3</v>
    <v>168.8</v>
    <v>ETF</v>
    <v>46097.847093332814</v>
    <v>71</v>
    <v>166.39</v>
    <v>8784036686.0200005</v>
    <v>iShares:Biotechnology</v>
    <v>166.39</v>
    <v>165.51</v>
    <v>167.14</v>
    <v>166.88</v>
    <v>IBB</v>
    <v>iShares:Biotechnology (XNAS:IBB)</v>
    <v>1190364</v>
    <v>1808468</v>
  </rv>
  <rv s="3">
    <v>72</v>
  </rv>
  <rv s="1">
    <v>https://www.bing.com/financeapi/forcetrigger?t=a2vpz2&amp;q=OTCM%3aSIEGY&amp;form=skydnc</v>
    <v>Learn more on Bing</v>
  </rv>
  <rv s="8">
    <v>en-GB</v>
    <v>a2vpz2</v>
    <v>268435456</v>
    <v>1</v>
    <v>Powered by Refinitiv</v>
    <v>15</v>
    <v>Siemens AG (OTCM:SIEGY)</v>
    <v>6</v>
    <v>16</v>
    <v>Finance</v>
    <v>17</v>
    <v>161.80000000000001</v>
    <v>94.545000000000002</v>
    <v>1.3019000000000001</v>
    <v>1.68</v>
    <v>1.3441000000000002E-2</v>
    <v>USD</v>
    <v>Siemens AG is a Germany-based technology company, which is focused on the areas of automation and digitalization in the process and manufacturing industries, intelligent infrastructure for buildings and distributed energy systems, smart mobility solutions for rail transport, and medical technology and digital healthcare services. The Company operates through the segments: Digital Industries, which offers products and system solutions for automation used in discrete and process industries; Smart Infrastructure, which supplies and connects energy systems and building technologies; Mobility, which combines all businesses in the area of rail passenger and rail freight transportation; Siemens Healthineers, which provides healthcare products, solutions and services; and Siemens Financial Services (SFS), which offers leasing solutions and equipment, project and structured financing in the form of debt and equity investments.</v>
    <v>317000</v>
    <v>OTC Markets</v>
    <v>OTCM</v>
    <v>OTCM</v>
    <v>Werner-von-Siemens-Strasse 1, MUNICH, BAYERN, 80333 DE</v>
    <v>127.88</v>
    <v>Machinery, Equipment &amp; Components</v>
    <v>Stock</v>
    <v>46097.840632407031</v>
    <v>74</v>
    <v>125.6</v>
    <v>198111880000</v>
    <v>Siemens AG</v>
    <v>Siemens AG</v>
    <v>126.99</v>
    <v>21.418700000000001</v>
    <v>124.99</v>
    <v>126.67</v>
    <v>126.67</v>
    <v>1564000000</v>
    <v>SIEGY</v>
    <v>Siemens AG (OTCM:SIEGY)</v>
    <v>422253</v>
    <v>425980</v>
    <v>1996</v>
  </rv>
  <rv s="3">
    <v>75</v>
  </rv>
</rvData>
</file>

<file path=xl/richData/rdrichvaluestructure.xml><?xml version="1.0" encoding="utf-8"?>
<rvStructures xmlns="http://schemas.microsoft.com/office/spreadsheetml/2017/richdata" count="9">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8">
    <spb s="0">
      <v>0</v>
      <v>Name</v>
      <v>LearnMoreOnLink</v>
    </spb>
    <spb s="1">
      <v>0</v>
      <v>0</v>
      <v>0</v>
    </spb>
    <spb s="2">
      <v>1</v>
      <v>1</v>
      <v>1</v>
    </spb>
    <spb s="3">
      <v>1</v>
      <v>2</v>
      <v>1</v>
      <v>3</v>
      <v>1</v>
      <v>1</v>
      <v>1</v>
      <v>4</v>
      <v>5</v>
      <v>6</v>
      <v>1</v>
      <v>1</v>
      <v>5</v>
      <v>1</v>
      <v>4</v>
      <v>7</v>
      <v>8</v>
      <v>1</v>
      <v>1</v>
      <v>5</v>
    </spb>
    <spb s="4">
      <v>at close</v>
      <v>from previous close</v>
      <v>Source: Nasdaq Last Sale</v>
      <v>from previous close</v>
      <v>GMT</v>
      <v>Real-Time Nasdaq Last Sale</v>
      <v>from close</v>
      <v>from close</v>
    </spb>
    <spb s="0">
      <v>1</v>
      <v>Name</v>
      <v>LearnMoreOnLink</v>
    </spb>
    <spb s="5">
      <v>1</v>
      <v>1</v>
      <v>1</v>
      <v>1</v>
    </spb>
    <spb s="6">
      <v>1</v>
      <v>2</v>
      <v>2</v>
      <v>1</v>
      <v>3</v>
      <v>1</v>
      <v>1</v>
      <v>1</v>
      <v>4</v>
      <v>4</v>
      <v>5</v>
      <v>6</v>
      <v>1</v>
      <v>1</v>
      <v>1</v>
      <v>4</v>
      <v>7</v>
      <v>9</v>
      <v>8</v>
      <v>4</v>
      <v>1</v>
      <v>1</v>
      <v>5</v>
    </spb>
    <spb s="7">
      <v>at close</v>
      <v>from previous close</v>
      <v>from previous close</v>
      <v>Source: Nasdaq Last Sale</v>
      <v>GMT</v>
      <v>Real-Time Nasdaq Last Sale</v>
      <v>from close</v>
      <v>from close</v>
    </spb>
    <spb s="0">
      <v>2</v>
      <v>Name</v>
      <v>LearnMoreOnLink</v>
    </spb>
    <spb s="8">
      <v>0</v>
      <v>0</v>
    </spb>
    <spb s="9">
      <v>10</v>
      <v>1</v>
      <v>1</v>
      <v>1</v>
      <v>1</v>
    </spb>
    <spb s="10">
      <v>1</v>
      <v>2</v>
      <v>2</v>
      <v>1</v>
      <v>3</v>
      <v>1</v>
      <v>10</v>
      <v>1</v>
      <v>1</v>
      <v>4</v>
      <v>4</v>
      <v>5</v>
      <v>6</v>
      <v>1</v>
      <v>1</v>
      <v>1</v>
      <v>4</v>
      <v>7</v>
      <v>9</v>
      <v>8</v>
      <v>4</v>
      <v>1</v>
      <v>1</v>
      <v>5</v>
    </spb>
    <spb s="11">
      <v>Powered by Refinitiv</v>
    </spb>
    <spb s="4">
      <v>at close</v>
      <v>from previous close</v>
      <v>Source: Nasdaq</v>
      <v>from previous close</v>
      <v>GMT</v>
      <v>Delayed 15 minutes</v>
      <v>from close</v>
      <v>from close</v>
    </spb>
    <spb s="0">
      <v>3</v>
      <v>Name</v>
      <v>LearnMoreOnLink</v>
    </spb>
    <spb s="12">
      <v>1</v>
      <v>2</v>
      <v>2</v>
      <v>1</v>
      <v>3</v>
      <v>1</v>
      <v>1</v>
      <v>1</v>
      <v>4</v>
      <v>4</v>
      <v>5</v>
      <v>6</v>
      <v>1</v>
      <v>1</v>
      <v>1</v>
      <v>4</v>
      <v>7</v>
      <v>9</v>
      <v>8</v>
      <v>4</v>
      <v>1</v>
    </spb>
    <spb s="13">
      <v>at close</v>
      <v>from previous close</v>
      <v>from previous close</v>
      <v>GMT</v>
      <v>Delayed 15 minutes</v>
    </spb>
  </spbData>
</supportingPropertyBags>
</file>

<file path=xl/richData/rdsupportingpropertybagstructure.xml><?xml version="1.0" encoding="utf-8"?>
<spbStructures xmlns="http://schemas.microsoft.com/office/spreadsheetml/2017/richdata2" count="14">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s>
  <s>
    <k n="Price" t="s"/>
    <k n="Change" t="s"/>
    <k n="Change (%)" t="s"/>
    <k n="Last trade time" t="s"/>
    <k n="Price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0">
      <rpv i="0">0.00</rpv>
    </rSty>
    <rSty dxfid="6">
      <rpv i="0">0</rpv>
    </rSty>
    <rSty>
      <rpv i="2">1</rpv>
    </rSty>
  </richStyles>
</richStyleSheet>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dingLogTable" displayName="TradingLogTable" ref="A1:M66" totalsRowCount="1" headerRowDxfId="29" dataDxfId="28" totalsRowDxfId="27" headerRowBorderDxfId="26">
  <autoFilter ref="A1:M65"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000-000001000000}" name="Date (YYYY-MM-DD)" dataDxfId="24" totalsRowDxfId="25"/>
    <tableColumn id="3" xr3:uid="{00000000-0010-0000-0000-000003000000}" name="Action (Open / Close / Adjust / No Action)" dataDxfId="22" totalsRowDxfId="23"/>
    <tableColumn id="4" xr3:uid="{00000000-0010-0000-0000-000004000000}" name="Ticker" dataDxfId="20" totalsRowDxfId="21"/>
    <tableColumn id="5" xr3:uid="{00000000-0010-0000-0000-000005000000}" name="Asset Name" dataDxfId="18" totalsRowDxfId="19"/>
    <tableColumn id="6" xr3:uid="{00000000-0010-0000-0000-000006000000}" name="Type (Stock, ETF, Bond, FX, etc.)" dataDxfId="16" totalsRowDxfId="17"/>
    <tableColumn id="7" xr3:uid="{00000000-0010-0000-0000-000007000000}" name="Quantity (positive number)" dataDxfId="14" totalsRowDxfId="15"/>
    <tableColumn id="8" xr3:uid="{00000000-0010-0000-0000-000008000000}" name="Price per Unit" dataDxfId="12" totalsRowDxfId="13">
      <calculatedColumnFormula>'Live Data'!Q2</calculatedColumnFormula>
    </tableColumn>
    <tableColumn id="9" xr3:uid="{00000000-0010-0000-0000-000009000000}" name="Trade Currency" dataDxfId="10" totalsRowDxfId="11"/>
    <tableColumn id="10" xr3:uid="{00000000-0010-0000-0000-00000A000000}" name="Gross Trade Value (=Qty*Price)" totalsRowFunction="custom" dataDxfId="8" totalsRowDxfId="9">
      <calculatedColumnFormula>TradingLogTable[[#This Row],[Quantity (positive number)]]*TradingLogTable[[#This Row],[Price per Unit]]</calculatedColumnFormula>
      <totalsRowFormula>_xlfn.FORMULATEXT(I18)</totalsRowFormula>
    </tableColumn>
    <tableColumn id="11" xr3:uid="{00000000-0010-0000-0000-00000B000000}" name="Fees / Commission" dataDxfId="6" totalsRowDxfId="7"/>
    <tableColumn id="12" xr3:uid="{00000000-0010-0000-0000-00000C000000}" name="Net Trade Value" dataDxfId="4" totalsRowDxfId="5">
      <calculatedColumnFormula>I2+J2</calculatedColumnFormula>
    </tableColumn>
    <tableColumn id="13" xr3:uid="{00000000-0010-0000-0000-00000D000000}" name="Position After Trade (units)" dataDxfId="2" totalsRowDxfId="3"/>
    <tableColumn id="14" xr3:uid="{00000000-0010-0000-0000-00000E000000}" name="Brief Reason (or reason for no change)" dataDxfId="0" totalsRowDxfId="1"/>
  </tableColumns>
  <tableStyleInfo name="TableStyleMedium7" showFirstColumn="0" showLastColumn="0" showRowStripes="0" showColumnStripes="1"/>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2"/>
  <sheetViews>
    <sheetView zoomScale="97" workbookViewId="0">
      <selection activeCell="E2" sqref="E2"/>
    </sheetView>
  </sheetViews>
  <sheetFormatPr defaultColWidth="8.85546875" defaultRowHeight="14.45"/>
  <cols>
    <col min="1" max="1" width="110.7109375" customWidth="1"/>
  </cols>
  <sheetData>
    <row r="1" spans="1:1" ht="15.6">
      <c r="A1" s="1" t="s">
        <v>0</v>
      </c>
    </row>
    <row r="2" spans="1:1" ht="259.14999999999998">
      <c r="A2"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912C-8864-499F-B461-37637739AD6E}">
  <sheetPr codeName="Sheet2"/>
  <dimension ref="A1:U20"/>
  <sheetViews>
    <sheetView showGridLines="0" zoomScale="61" workbookViewId="0">
      <selection activeCell="E18" sqref="E18"/>
    </sheetView>
  </sheetViews>
  <sheetFormatPr defaultColWidth="8.85546875" defaultRowHeight="25.15"/>
  <cols>
    <col min="1" max="2" width="8.85546875" style="30"/>
    <col min="3" max="3" width="12.7109375" style="30" bestFit="1" customWidth="1"/>
    <col min="4" max="4" width="15.85546875" style="30" customWidth="1"/>
    <col min="5" max="6" width="17.140625" style="30" customWidth="1"/>
    <col min="7" max="7" width="8.85546875" style="30"/>
    <col min="8" max="8" width="35.85546875" style="30" bestFit="1" customWidth="1"/>
    <col min="9" max="9" width="8.85546875" style="30"/>
    <col min="10" max="10" width="3.7109375" style="30" customWidth="1"/>
    <col min="11" max="11" width="14.42578125" style="30" customWidth="1"/>
    <col min="12" max="18" width="8.85546875" style="30"/>
    <col min="19" max="19" width="20" style="30" customWidth="1"/>
    <col min="20" max="20" width="8.85546875" style="30"/>
    <col min="21" max="21" width="13.140625" style="30" bestFit="1" customWidth="1"/>
    <col min="22" max="16384" width="8.85546875" style="30"/>
  </cols>
  <sheetData>
    <row r="1" spans="1:21">
      <c r="A1" s="87" t="e" vm="1">
        <v>#VALUE!</v>
      </c>
      <c r="B1" s="87"/>
      <c r="C1" s="87"/>
    </row>
    <row r="2" spans="1:21">
      <c r="A2" s="87"/>
      <c r="B2" s="87"/>
      <c r="C2" s="87"/>
    </row>
    <row r="3" spans="1:21">
      <c r="A3" s="87"/>
      <c r="B3" s="87"/>
      <c r="C3" s="87"/>
    </row>
    <row r="5" spans="1:21">
      <c r="B5" s="88" t="s">
        <v>2</v>
      </c>
      <c r="C5" s="88"/>
      <c r="D5" s="88"/>
      <c r="E5" s="88"/>
      <c r="F5" s="88"/>
      <c r="G5" s="88"/>
      <c r="H5" s="88"/>
      <c r="I5" s="88"/>
      <c r="K5" s="89">
        <f>1+1+1</f>
        <v>3</v>
      </c>
    </row>
    <row r="6" spans="1:21" ht="45">
      <c r="B6" s="88"/>
      <c r="C6" s="88"/>
      <c r="D6" s="88"/>
      <c r="E6" s="88"/>
      <c r="F6" s="88"/>
      <c r="G6" s="88"/>
      <c r="H6" s="88"/>
      <c r="I6" s="88"/>
      <c r="J6" s="36" t="s">
        <v>3</v>
      </c>
      <c r="K6" s="89"/>
    </row>
    <row r="7" spans="1:21">
      <c r="B7" s="88"/>
      <c r="C7" s="88"/>
      <c r="D7" s="88"/>
      <c r="E7" s="88"/>
      <c r="F7" s="88"/>
      <c r="G7" s="88"/>
      <c r="H7" s="88"/>
      <c r="I7" s="88"/>
      <c r="K7" s="89"/>
    </row>
    <row r="8" spans="1:21" ht="8.4499999999999993" customHeight="1">
      <c r="B8" s="88"/>
      <c r="C8" s="88"/>
      <c r="D8" s="88"/>
      <c r="E8" s="88"/>
      <c r="F8" s="88"/>
      <c r="G8" s="88"/>
      <c r="H8" s="88"/>
      <c r="I8" s="88"/>
      <c r="K8" s="89"/>
    </row>
    <row r="11" spans="1:21">
      <c r="C11" s="32"/>
      <c r="D11" s="32"/>
      <c r="G11" s="32" t="s">
        <v>4</v>
      </c>
    </row>
    <row r="12" spans="1:21" ht="33">
      <c r="B12" s="34" t="s">
        <v>5</v>
      </c>
      <c r="C12" s="33"/>
      <c r="D12" s="33"/>
      <c r="H12" s="30" t="s">
        <v>6</v>
      </c>
      <c r="S12" s="49"/>
      <c r="U12" s="49"/>
    </row>
    <row r="13" spans="1:21" ht="33">
      <c r="B13" s="35" t="s">
        <v>7</v>
      </c>
      <c r="C13" s="33"/>
      <c r="D13" s="33"/>
      <c r="H13" s="30" t="s">
        <v>8</v>
      </c>
    </row>
    <row r="14" spans="1:21">
      <c r="H14" s="30" t="s">
        <v>9</v>
      </c>
    </row>
    <row r="15" spans="1:21">
      <c r="B15" s="90" t="s">
        <v>10</v>
      </c>
      <c r="C15" s="91">
        <v>46097</v>
      </c>
      <c r="D15" s="91"/>
      <c r="H15" s="30" t="s">
        <v>11</v>
      </c>
    </row>
    <row r="16" spans="1:21">
      <c r="B16" s="90"/>
      <c r="C16" s="91"/>
      <c r="D16" s="91"/>
      <c r="H16" s="30" t="s">
        <v>12</v>
      </c>
    </row>
    <row r="17" spans="2:8">
      <c r="H17" s="30" t="s">
        <v>13</v>
      </c>
    </row>
    <row r="18" spans="2:8">
      <c r="H18" s="30" t="s">
        <v>14</v>
      </c>
    </row>
    <row r="19" spans="2:8">
      <c r="H19" s="30" t="s">
        <v>15</v>
      </c>
    </row>
    <row r="20" spans="2:8">
      <c r="B20" s="31"/>
    </row>
  </sheetData>
  <mergeCells count="5">
    <mergeCell ref="A1:C3"/>
    <mergeCell ref="B5:I8"/>
    <mergeCell ref="K5:K8"/>
    <mergeCell ref="B15:B16"/>
    <mergeCell ref="C15: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O92"/>
  <sheetViews>
    <sheetView zoomScale="41" zoomScaleNormal="70" workbookViewId="0">
      <pane ySplit="1" topLeftCell="A33" activePane="bottomLeft" state="frozen"/>
      <selection pane="bottomLeft" activeCell="D80" sqref="D80"/>
    </sheetView>
  </sheetViews>
  <sheetFormatPr defaultColWidth="20.140625" defaultRowHeight="22.15"/>
  <cols>
    <col min="1" max="1" width="26" style="53" bestFit="1" customWidth="1"/>
    <col min="2" max="2" width="27.85546875" style="3" customWidth="1"/>
    <col min="3" max="3" width="20.140625" style="3"/>
    <col min="4" max="4" width="48.28515625" style="4" customWidth="1"/>
    <col min="5" max="6" width="20.140625" style="3"/>
    <col min="7" max="7" width="20.140625" style="5"/>
    <col min="8" max="9" width="20.140625" style="3"/>
    <col min="10" max="10" width="24.28515625" style="3" customWidth="1"/>
    <col min="11" max="11" width="20.140625" style="5"/>
    <col min="12" max="12" width="20.140625" style="3"/>
    <col min="13" max="13" width="147.7109375" style="6" bestFit="1" customWidth="1"/>
    <col min="14" max="14" width="39.7109375" style="6" customWidth="1"/>
    <col min="15" max="15" width="20.140625" style="3"/>
    <col min="16" max="16" width="62.28515625" style="3" bestFit="1" customWidth="1"/>
    <col min="17" max="17" width="25" style="3" customWidth="1"/>
    <col min="18" max="18" width="28" style="3" customWidth="1"/>
    <col min="19" max="26" width="20.140625" style="3"/>
    <col min="27" max="27" width="20.140625" style="3" customWidth="1"/>
    <col min="28" max="30" width="20.140625" style="3"/>
    <col min="31" max="31" width="24.5703125" style="3" customWidth="1"/>
    <col min="32" max="16384" width="20.140625" style="3"/>
  </cols>
  <sheetData>
    <row r="1" spans="1:13" s="6" customFormat="1" ht="132">
      <c r="A1" s="50" t="s">
        <v>16</v>
      </c>
      <c r="B1" s="13" t="s">
        <v>17</v>
      </c>
      <c r="C1" s="13" t="s">
        <v>18</v>
      </c>
      <c r="D1" s="13" t="s">
        <v>19</v>
      </c>
      <c r="E1" s="13" t="s">
        <v>20</v>
      </c>
      <c r="F1" s="13" t="s">
        <v>21</v>
      </c>
      <c r="G1" s="14" t="s">
        <v>22</v>
      </c>
      <c r="H1" s="13" t="s">
        <v>23</v>
      </c>
      <c r="I1" s="13" t="s">
        <v>24</v>
      </c>
      <c r="J1" s="13" t="s">
        <v>25</v>
      </c>
      <c r="K1" s="14" t="s">
        <v>26</v>
      </c>
      <c r="L1" s="13" t="s">
        <v>27</v>
      </c>
      <c r="M1" s="13" t="s">
        <v>28</v>
      </c>
    </row>
    <row r="2" spans="1:13">
      <c r="A2" s="61">
        <v>46065</v>
      </c>
      <c r="B2" s="62" t="s">
        <v>29</v>
      </c>
      <c r="C2" s="62" t="s">
        <v>30</v>
      </c>
      <c r="D2" s="62" t="s">
        <v>31</v>
      </c>
      <c r="E2" s="62" t="s">
        <v>32</v>
      </c>
      <c r="F2" s="62">
        <v>295</v>
      </c>
      <c r="G2" s="63">
        <v>684.89</v>
      </c>
      <c r="H2" s="64" t="s">
        <v>33</v>
      </c>
      <c r="I2" s="65">
        <f>TradingLogTable[[#This Row],[Quantity (positive number)]]*TradingLogTable[[#This Row],[Price per Unit]]</f>
        <v>202042.55</v>
      </c>
      <c r="J2" s="64">
        <v>10</v>
      </c>
      <c r="K2" s="66">
        <f>I2+J2</f>
        <v>202052.55</v>
      </c>
      <c r="L2" s="62">
        <v>295</v>
      </c>
      <c r="M2" s="67" t="s">
        <v>34</v>
      </c>
    </row>
    <row r="3" spans="1:13">
      <c r="A3" s="61">
        <v>46065</v>
      </c>
      <c r="B3" s="62" t="s">
        <v>29</v>
      </c>
      <c r="C3" s="62" t="s">
        <v>35</v>
      </c>
      <c r="D3" s="62" t="s">
        <v>36</v>
      </c>
      <c r="E3" s="62" t="s">
        <v>37</v>
      </c>
      <c r="F3" s="62">
        <v>100</v>
      </c>
      <c r="G3" s="63">
        <v>643.25</v>
      </c>
      <c r="H3" s="64" t="s">
        <v>33</v>
      </c>
      <c r="I3" s="65">
        <f>TradingLogTable[[#This Row],[Quantity (positive number)]]*TradingLogTable[[#This Row],[Price per Unit]]</f>
        <v>64325</v>
      </c>
      <c r="J3" s="64">
        <v>10</v>
      </c>
      <c r="K3" s="66">
        <f t="shared" ref="K3:K16" si="0">I3+J3</f>
        <v>64335</v>
      </c>
      <c r="L3" s="62">
        <v>100</v>
      </c>
      <c r="M3" s="67" t="s">
        <v>38</v>
      </c>
    </row>
    <row r="4" spans="1:13">
      <c r="A4" s="61">
        <v>46065</v>
      </c>
      <c r="B4" s="62" t="s">
        <v>29</v>
      </c>
      <c r="C4" s="62" t="s">
        <v>39</v>
      </c>
      <c r="D4" s="62" t="s">
        <v>40</v>
      </c>
      <c r="E4" s="62" t="s">
        <v>32</v>
      </c>
      <c r="F4" s="62">
        <v>875</v>
      </c>
      <c r="G4" s="63">
        <v>89.52</v>
      </c>
      <c r="H4" s="64" t="s">
        <v>33</v>
      </c>
      <c r="I4" s="65">
        <f>TradingLogTable[[#This Row],[Quantity (positive number)]]*TradingLogTable[[#This Row],[Price per Unit]]</f>
        <v>78330</v>
      </c>
      <c r="J4" s="64">
        <v>10</v>
      </c>
      <c r="K4" s="66">
        <f t="shared" si="0"/>
        <v>78340</v>
      </c>
      <c r="L4" s="62">
        <v>875</v>
      </c>
      <c r="M4" s="67" t="s">
        <v>41</v>
      </c>
    </row>
    <row r="5" spans="1:13">
      <c r="A5" s="61">
        <v>46065</v>
      </c>
      <c r="B5" s="62" t="s">
        <v>29</v>
      </c>
      <c r="C5" s="62" t="s">
        <v>42</v>
      </c>
      <c r="D5" s="62" t="s">
        <v>43</v>
      </c>
      <c r="E5" s="62" t="s">
        <v>37</v>
      </c>
      <c r="F5" s="62">
        <v>260</v>
      </c>
      <c r="G5" s="63">
        <v>244.64</v>
      </c>
      <c r="H5" s="64" t="s">
        <v>33</v>
      </c>
      <c r="I5" s="65">
        <f>TradingLogTable[[#This Row],[Quantity (positive number)]]*TradingLogTable[[#This Row],[Price per Unit]]</f>
        <v>63606.399999999994</v>
      </c>
      <c r="J5" s="64">
        <v>10</v>
      </c>
      <c r="K5" s="66">
        <f t="shared" si="0"/>
        <v>63616.399999999994</v>
      </c>
      <c r="L5" s="62">
        <v>260</v>
      </c>
      <c r="M5" s="67" t="s">
        <v>44</v>
      </c>
    </row>
    <row r="6" spans="1:13">
      <c r="A6" s="61">
        <v>46065</v>
      </c>
      <c r="B6" s="62" t="s">
        <v>29</v>
      </c>
      <c r="C6" s="62" t="s">
        <v>45</v>
      </c>
      <c r="D6" s="62" t="s">
        <v>46</v>
      </c>
      <c r="E6" s="62" t="s">
        <v>37</v>
      </c>
      <c r="F6" s="62">
        <v>235</v>
      </c>
      <c r="G6" s="63">
        <v>162.44999999999999</v>
      </c>
      <c r="H6" s="64" t="s">
        <v>33</v>
      </c>
      <c r="I6" s="65">
        <f>TradingLogTable[[#This Row],[Quantity (positive number)]]*TradingLogTable[[#This Row],[Price per Unit]]</f>
        <v>38175.75</v>
      </c>
      <c r="J6" s="64">
        <v>10</v>
      </c>
      <c r="K6" s="66">
        <f t="shared" si="0"/>
        <v>38185.75</v>
      </c>
      <c r="L6" s="62">
        <v>235</v>
      </c>
      <c r="M6" s="67" t="s">
        <v>47</v>
      </c>
    </row>
    <row r="7" spans="1:13">
      <c r="A7" s="61">
        <v>46065</v>
      </c>
      <c r="B7" s="62" t="s">
        <v>29</v>
      </c>
      <c r="C7" s="62" t="s">
        <v>48</v>
      </c>
      <c r="D7" s="62" t="s">
        <v>49</v>
      </c>
      <c r="E7" s="62" t="s">
        <v>37</v>
      </c>
      <c r="F7" s="62">
        <v>570</v>
      </c>
      <c r="G7" s="63">
        <v>132.94999999999999</v>
      </c>
      <c r="H7" s="64" t="s">
        <v>33</v>
      </c>
      <c r="I7" s="65">
        <f>TradingLogTable[[#This Row],[Quantity (positive number)]]*TradingLogTable[[#This Row],[Price per Unit]]</f>
        <v>75781.5</v>
      </c>
      <c r="J7" s="64">
        <v>10</v>
      </c>
      <c r="K7" s="66">
        <f t="shared" si="0"/>
        <v>75791.5</v>
      </c>
      <c r="L7" s="62">
        <v>570</v>
      </c>
      <c r="M7" s="67" t="s">
        <v>50</v>
      </c>
    </row>
    <row r="8" spans="1:13">
      <c r="A8" s="61">
        <v>46065</v>
      </c>
      <c r="B8" s="62" t="s">
        <v>29</v>
      </c>
      <c r="C8" s="62" t="s">
        <v>51</v>
      </c>
      <c r="D8" s="62" t="s">
        <v>52</v>
      </c>
      <c r="E8" s="62" t="s">
        <v>32</v>
      </c>
      <c r="F8" s="62">
        <v>800</v>
      </c>
      <c r="G8" s="63">
        <v>45.45</v>
      </c>
      <c r="H8" s="64" t="s">
        <v>33</v>
      </c>
      <c r="I8" s="65">
        <f>TradingLogTable[[#This Row],[Quantity (positive number)]]*TradingLogTable[[#This Row],[Price per Unit]]</f>
        <v>36360</v>
      </c>
      <c r="J8" s="64">
        <v>10</v>
      </c>
      <c r="K8" s="66">
        <f t="shared" si="0"/>
        <v>36370</v>
      </c>
      <c r="L8" s="62">
        <v>800</v>
      </c>
      <c r="M8" s="67" t="s">
        <v>53</v>
      </c>
    </row>
    <row r="9" spans="1:13">
      <c r="A9" s="61">
        <v>46070</v>
      </c>
      <c r="B9" s="62" t="s">
        <v>29</v>
      </c>
      <c r="C9" s="62" t="s">
        <v>54</v>
      </c>
      <c r="D9" s="62" t="s">
        <v>55</v>
      </c>
      <c r="E9" s="62" t="s">
        <v>37</v>
      </c>
      <c r="F9" s="62">
        <v>230</v>
      </c>
      <c r="G9" s="63">
        <v>363.94</v>
      </c>
      <c r="H9" s="64" t="s">
        <v>33</v>
      </c>
      <c r="I9" s="65">
        <f>TradingLogTable[[#This Row],[Quantity (positive number)]]*TradingLogTable[[#This Row],[Price per Unit]]</f>
        <v>83706.2</v>
      </c>
      <c r="J9" s="64">
        <v>10</v>
      </c>
      <c r="K9" s="66">
        <f t="shared" si="0"/>
        <v>83716.2</v>
      </c>
      <c r="L9" s="62">
        <v>230</v>
      </c>
      <c r="M9" s="67" t="s">
        <v>56</v>
      </c>
    </row>
    <row r="10" spans="1:13">
      <c r="A10" s="61">
        <v>46070</v>
      </c>
      <c r="B10" s="62" t="s">
        <v>29</v>
      </c>
      <c r="C10" s="62" t="s">
        <v>57</v>
      </c>
      <c r="D10" s="62" t="s">
        <v>58</v>
      </c>
      <c r="E10" s="62" t="s">
        <v>37</v>
      </c>
      <c r="F10" s="62">
        <v>110</v>
      </c>
      <c r="G10" s="63">
        <v>408.82</v>
      </c>
      <c r="H10" s="64" t="s">
        <v>33</v>
      </c>
      <c r="I10" s="65">
        <f>TradingLogTable[[#This Row],[Quantity (positive number)]]*TradingLogTable[[#This Row],[Price per Unit]]</f>
        <v>44970.2</v>
      </c>
      <c r="J10" s="64">
        <v>10</v>
      </c>
      <c r="K10" s="66">
        <f t="shared" si="0"/>
        <v>44980.2</v>
      </c>
      <c r="L10" s="62">
        <v>110</v>
      </c>
      <c r="M10" s="67" t="s">
        <v>59</v>
      </c>
    </row>
    <row r="11" spans="1:13">
      <c r="A11" s="61">
        <v>46070</v>
      </c>
      <c r="B11" s="62" t="s">
        <v>29</v>
      </c>
      <c r="C11" s="62" t="s">
        <v>60</v>
      </c>
      <c r="D11" s="62" t="s">
        <v>61</v>
      </c>
      <c r="E11" s="62" t="s">
        <v>37</v>
      </c>
      <c r="F11" s="62">
        <v>388</v>
      </c>
      <c r="G11" s="63">
        <v>131.47999999999999</v>
      </c>
      <c r="H11" s="64" t="s">
        <v>33</v>
      </c>
      <c r="I11" s="65">
        <f>TradingLogTable[[#This Row],[Quantity (positive number)]]*TradingLogTable[[#This Row],[Price per Unit]]</f>
        <v>51014.239999999998</v>
      </c>
      <c r="J11" s="64">
        <v>10</v>
      </c>
      <c r="K11" s="66">
        <f t="shared" si="0"/>
        <v>51024.24</v>
      </c>
      <c r="L11" s="62">
        <v>388</v>
      </c>
      <c r="M11" s="67" t="s">
        <v>62</v>
      </c>
    </row>
    <row r="12" spans="1:13">
      <c r="A12" s="61">
        <v>46070</v>
      </c>
      <c r="B12" s="62" t="s">
        <v>29</v>
      </c>
      <c r="C12" s="62" t="s">
        <v>63</v>
      </c>
      <c r="D12" s="62" t="s">
        <v>64</v>
      </c>
      <c r="E12" s="62" t="s">
        <v>37</v>
      </c>
      <c r="F12" s="62">
        <v>150</v>
      </c>
      <c r="G12" s="63">
        <v>306.82</v>
      </c>
      <c r="H12" s="64" t="s">
        <v>33</v>
      </c>
      <c r="I12" s="65">
        <f>TradingLogTable[[#This Row],[Quantity (positive number)]]*TradingLogTable[[#This Row],[Price per Unit]]</f>
        <v>46023</v>
      </c>
      <c r="J12" s="64">
        <v>10</v>
      </c>
      <c r="K12" s="66">
        <f t="shared" si="0"/>
        <v>46033</v>
      </c>
      <c r="L12" s="62">
        <v>150</v>
      </c>
      <c r="M12" s="67" t="s">
        <v>65</v>
      </c>
    </row>
    <row r="13" spans="1:13">
      <c r="A13" s="61">
        <v>46070</v>
      </c>
      <c r="B13" s="62" t="s">
        <v>29</v>
      </c>
      <c r="C13" s="62" t="s">
        <v>66</v>
      </c>
      <c r="D13" s="62" t="s">
        <v>67</v>
      </c>
      <c r="E13" s="62" t="s">
        <v>37</v>
      </c>
      <c r="F13" s="62">
        <v>250</v>
      </c>
      <c r="G13" s="63">
        <v>200.87</v>
      </c>
      <c r="H13" s="64" t="s">
        <v>33</v>
      </c>
      <c r="I13" s="65">
        <f>TradingLogTable[[#This Row],[Quantity (positive number)]]*TradingLogTable[[#This Row],[Price per Unit]]</f>
        <v>50217.5</v>
      </c>
      <c r="J13" s="64">
        <v>10</v>
      </c>
      <c r="K13" s="66">
        <f t="shared" si="0"/>
        <v>50227.5</v>
      </c>
      <c r="L13" s="62">
        <v>250</v>
      </c>
      <c r="M13" s="67" t="s">
        <v>68</v>
      </c>
    </row>
    <row r="14" spans="1:13">
      <c r="A14" s="61">
        <v>46070</v>
      </c>
      <c r="B14" s="62" t="s">
        <v>29</v>
      </c>
      <c r="C14" s="62" t="s">
        <v>69</v>
      </c>
      <c r="D14" s="62" t="s">
        <v>70</v>
      </c>
      <c r="E14" s="62" t="s">
        <v>37</v>
      </c>
      <c r="F14" s="62">
        <v>130</v>
      </c>
      <c r="G14" s="63">
        <v>302.22000000000003</v>
      </c>
      <c r="H14" s="64" t="s">
        <v>33</v>
      </c>
      <c r="I14" s="65">
        <f>TradingLogTable[[#This Row],[Quantity (positive number)]]*TradingLogTable[[#This Row],[Price per Unit]]</f>
        <v>39288.600000000006</v>
      </c>
      <c r="J14" s="64">
        <v>10</v>
      </c>
      <c r="K14" s="66">
        <f t="shared" si="0"/>
        <v>39298.600000000006</v>
      </c>
      <c r="L14" s="62">
        <v>130</v>
      </c>
      <c r="M14" s="67" t="s">
        <v>71</v>
      </c>
    </row>
    <row r="15" spans="1:13">
      <c r="A15" s="61">
        <v>46070</v>
      </c>
      <c r="B15" s="62" t="s">
        <v>29</v>
      </c>
      <c r="C15" s="62" t="s">
        <v>72</v>
      </c>
      <c r="D15" s="62" t="s">
        <v>73</v>
      </c>
      <c r="E15" s="62" t="s">
        <v>37</v>
      </c>
      <c r="F15" s="62">
        <v>140</v>
      </c>
      <c r="G15" s="63">
        <v>329.44</v>
      </c>
      <c r="H15" s="64" t="s">
        <v>33</v>
      </c>
      <c r="I15" s="65">
        <f>TradingLogTable[[#This Row],[Quantity (positive number)]]*TradingLogTable[[#This Row],[Price per Unit]]</f>
        <v>46121.599999999999</v>
      </c>
      <c r="J15" s="64">
        <v>10</v>
      </c>
      <c r="K15" s="66">
        <f t="shared" si="0"/>
        <v>46131.6</v>
      </c>
      <c r="L15" s="62">
        <v>140</v>
      </c>
      <c r="M15" s="67" t="s">
        <v>74</v>
      </c>
    </row>
    <row r="16" spans="1:13">
      <c r="A16" s="61">
        <v>46070</v>
      </c>
      <c r="B16" s="62" t="s">
        <v>29</v>
      </c>
      <c r="C16" s="62" t="s">
        <v>75</v>
      </c>
      <c r="D16" s="62" t="s">
        <v>76</v>
      </c>
      <c r="E16" s="62" t="s">
        <v>37</v>
      </c>
      <c r="F16" s="62">
        <v>800</v>
      </c>
      <c r="G16" s="63">
        <v>33.6</v>
      </c>
      <c r="H16" s="64" t="s">
        <v>33</v>
      </c>
      <c r="I16" s="65">
        <f>TradingLogTable[[#This Row],[Quantity (positive number)]]*TradingLogTable[[#This Row],[Price per Unit]]</f>
        <v>26880</v>
      </c>
      <c r="J16" s="64">
        <v>10</v>
      </c>
      <c r="K16" s="66">
        <f t="shared" si="0"/>
        <v>26890</v>
      </c>
      <c r="L16" s="62">
        <v>800</v>
      </c>
      <c r="M16" s="67" t="s">
        <v>77</v>
      </c>
    </row>
    <row r="17" spans="1:14" ht="22.9" thickBot="1">
      <c r="A17" s="68"/>
      <c r="B17" s="69"/>
      <c r="C17" s="69"/>
      <c r="D17" s="69"/>
      <c r="E17" s="69"/>
      <c r="F17" s="69"/>
      <c r="G17" s="70"/>
      <c r="H17" s="71"/>
      <c r="I17" s="72"/>
      <c r="J17" s="71"/>
      <c r="K17" s="73"/>
      <c r="L17" s="69"/>
      <c r="M17" s="74"/>
    </row>
    <row r="18" spans="1:14" ht="41.45" thickBot="1">
      <c r="A18" s="75">
        <v>46083</v>
      </c>
      <c r="B18" s="76" t="s">
        <v>78</v>
      </c>
      <c r="C18" s="76" t="s">
        <v>30</v>
      </c>
      <c r="D18" s="76" t="s">
        <v>31</v>
      </c>
      <c r="E18" s="76" t="s">
        <v>32</v>
      </c>
      <c r="F18" s="76">
        <v>295</v>
      </c>
      <c r="G18" s="63">
        <v>684.89</v>
      </c>
      <c r="H18" s="77" t="s">
        <v>33</v>
      </c>
      <c r="I18" s="78">
        <f>TradingLogTable[[#This Row],[Quantity (positive number)]]*TradingLogTable[[#This Row],[Price per Unit]]</f>
        <v>202042.55</v>
      </c>
      <c r="J18" s="77">
        <v>10</v>
      </c>
      <c r="K18" s="79">
        <f t="shared" ref="K18:K32" si="1">I18+J18</f>
        <v>202052.55</v>
      </c>
      <c r="L18" s="76">
        <v>295</v>
      </c>
      <c r="M18" s="80" t="s">
        <v>79</v>
      </c>
    </row>
    <row r="19" spans="1:14" ht="41.45" thickBot="1">
      <c r="A19" s="75">
        <v>46083</v>
      </c>
      <c r="B19" s="76" t="s">
        <v>78</v>
      </c>
      <c r="C19" s="76" t="s">
        <v>35</v>
      </c>
      <c r="D19" s="76" t="s">
        <v>36</v>
      </c>
      <c r="E19" s="76" t="s">
        <v>37</v>
      </c>
      <c r="F19" s="76">
        <v>100</v>
      </c>
      <c r="G19" s="63">
        <v>643.25</v>
      </c>
      <c r="H19" s="77" t="s">
        <v>33</v>
      </c>
      <c r="I19" s="78">
        <f>TradingLogTable[[#This Row],[Quantity (positive number)]]*TradingLogTable[[#This Row],[Price per Unit]]</f>
        <v>64325</v>
      </c>
      <c r="J19" s="77">
        <v>10</v>
      </c>
      <c r="K19" s="79">
        <f t="shared" si="1"/>
        <v>64335</v>
      </c>
      <c r="L19" s="76">
        <v>100</v>
      </c>
      <c r="M19" s="80" t="s">
        <v>80</v>
      </c>
      <c r="N19" s="11"/>
    </row>
    <row r="20" spans="1:14" ht="41.45" thickBot="1">
      <c r="A20" s="75">
        <v>46083</v>
      </c>
      <c r="B20" s="76" t="s">
        <v>78</v>
      </c>
      <c r="C20" s="76" t="s">
        <v>39</v>
      </c>
      <c r="D20" s="76" t="s">
        <v>40</v>
      </c>
      <c r="E20" s="76" t="s">
        <v>32</v>
      </c>
      <c r="F20" s="76">
        <v>875</v>
      </c>
      <c r="G20" s="63">
        <v>89.52</v>
      </c>
      <c r="H20" s="77" t="s">
        <v>33</v>
      </c>
      <c r="I20" s="78">
        <f>TradingLogTable[[#This Row],[Quantity (positive number)]]*TradingLogTable[[#This Row],[Price per Unit]]</f>
        <v>78330</v>
      </c>
      <c r="J20" s="77">
        <v>10</v>
      </c>
      <c r="K20" s="79">
        <f t="shared" si="1"/>
        <v>78340</v>
      </c>
      <c r="L20" s="76">
        <v>875</v>
      </c>
      <c r="M20" s="80" t="s">
        <v>81</v>
      </c>
      <c r="N20" s="11"/>
    </row>
    <row r="21" spans="1:14" ht="22.9" thickBot="1">
      <c r="A21" s="75">
        <v>46083</v>
      </c>
      <c r="B21" s="76" t="s">
        <v>78</v>
      </c>
      <c r="C21" s="76" t="s">
        <v>42</v>
      </c>
      <c r="D21" s="76" t="s">
        <v>43</v>
      </c>
      <c r="E21" s="76" t="s">
        <v>37</v>
      </c>
      <c r="F21" s="76">
        <v>260</v>
      </c>
      <c r="G21" s="63">
        <v>244.64</v>
      </c>
      <c r="H21" s="77" t="s">
        <v>33</v>
      </c>
      <c r="I21" s="78">
        <f>TradingLogTable[[#This Row],[Quantity (positive number)]]*TradingLogTable[[#This Row],[Price per Unit]]</f>
        <v>63606.399999999994</v>
      </c>
      <c r="J21" s="77">
        <v>10</v>
      </c>
      <c r="K21" s="79">
        <f t="shared" si="1"/>
        <v>63616.399999999994</v>
      </c>
      <c r="L21" s="76">
        <v>260</v>
      </c>
      <c r="M21" s="80" t="s">
        <v>82</v>
      </c>
    </row>
    <row r="22" spans="1:14" ht="22.9" thickBot="1">
      <c r="A22" s="75">
        <v>46083</v>
      </c>
      <c r="B22" s="76" t="s">
        <v>78</v>
      </c>
      <c r="C22" s="76" t="s">
        <v>45</v>
      </c>
      <c r="D22" s="76" t="s">
        <v>46</v>
      </c>
      <c r="E22" s="76" t="s">
        <v>37</v>
      </c>
      <c r="F22" s="76">
        <v>235</v>
      </c>
      <c r="G22" s="63">
        <v>162.44999999999999</v>
      </c>
      <c r="H22" s="77" t="s">
        <v>33</v>
      </c>
      <c r="I22" s="78">
        <f>TradingLogTable[[#This Row],[Quantity (positive number)]]*TradingLogTable[[#This Row],[Price per Unit]]</f>
        <v>38175.75</v>
      </c>
      <c r="J22" s="77">
        <v>10</v>
      </c>
      <c r="K22" s="79">
        <f t="shared" si="1"/>
        <v>38185.75</v>
      </c>
      <c r="L22" s="76">
        <v>235</v>
      </c>
      <c r="M22" s="80" t="s">
        <v>83</v>
      </c>
    </row>
    <row r="23" spans="1:14" ht="41.45" thickBot="1">
      <c r="A23" s="75">
        <v>46083</v>
      </c>
      <c r="B23" s="76" t="s">
        <v>78</v>
      </c>
      <c r="C23" s="76" t="s">
        <v>48</v>
      </c>
      <c r="D23" s="76" t="s">
        <v>49</v>
      </c>
      <c r="E23" s="76" t="s">
        <v>37</v>
      </c>
      <c r="F23" s="76">
        <v>570</v>
      </c>
      <c r="G23" s="63">
        <v>132.94999999999999</v>
      </c>
      <c r="H23" s="77" t="s">
        <v>33</v>
      </c>
      <c r="I23" s="78">
        <f>TradingLogTable[[#This Row],[Quantity (positive number)]]*TradingLogTable[[#This Row],[Price per Unit]]</f>
        <v>75781.5</v>
      </c>
      <c r="J23" s="77">
        <v>10</v>
      </c>
      <c r="K23" s="79">
        <f t="shared" si="1"/>
        <v>75791.5</v>
      </c>
      <c r="L23" s="76">
        <v>570</v>
      </c>
      <c r="M23" s="80" t="s">
        <v>84</v>
      </c>
    </row>
    <row r="24" spans="1:14" ht="22.9" thickBot="1">
      <c r="A24" s="75">
        <v>46083</v>
      </c>
      <c r="B24" s="76" t="s">
        <v>78</v>
      </c>
      <c r="C24" s="76" t="s">
        <v>51</v>
      </c>
      <c r="D24" s="76" t="s">
        <v>52</v>
      </c>
      <c r="E24" s="76" t="s">
        <v>32</v>
      </c>
      <c r="F24" s="76">
        <v>800</v>
      </c>
      <c r="G24" s="63">
        <v>45.45</v>
      </c>
      <c r="H24" s="77" t="s">
        <v>33</v>
      </c>
      <c r="I24" s="78">
        <f>TradingLogTable[[#This Row],[Quantity (positive number)]]*TradingLogTable[[#This Row],[Price per Unit]]</f>
        <v>36360</v>
      </c>
      <c r="J24" s="77">
        <v>10</v>
      </c>
      <c r="K24" s="79">
        <f t="shared" si="1"/>
        <v>36370</v>
      </c>
      <c r="L24" s="76">
        <v>800</v>
      </c>
      <c r="M24" s="80" t="s">
        <v>85</v>
      </c>
    </row>
    <row r="25" spans="1:14" ht="22.9" thickBot="1">
      <c r="A25" s="75">
        <v>46083</v>
      </c>
      <c r="B25" s="76" t="s">
        <v>78</v>
      </c>
      <c r="C25" s="76" t="s">
        <v>54</v>
      </c>
      <c r="D25" s="76" t="s">
        <v>55</v>
      </c>
      <c r="E25" s="76" t="s">
        <v>37</v>
      </c>
      <c r="F25" s="76">
        <v>230</v>
      </c>
      <c r="G25" s="63">
        <v>363.94</v>
      </c>
      <c r="H25" s="77" t="s">
        <v>33</v>
      </c>
      <c r="I25" s="78">
        <f>TradingLogTable[[#This Row],[Quantity (positive number)]]*TradingLogTable[[#This Row],[Price per Unit]]</f>
        <v>83706.2</v>
      </c>
      <c r="J25" s="77">
        <v>10</v>
      </c>
      <c r="K25" s="79">
        <f t="shared" si="1"/>
        <v>83716.2</v>
      </c>
      <c r="L25" s="76">
        <v>230</v>
      </c>
      <c r="M25" s="80" t="s">
        <v>86</v>
      </c>
    </row>
    <row r="26" spans="1:14" ht="41.45" thickBot="1">
      <c r="A26" s="75">
        <v>46083</v>
      </c>
      <c r="B26" s="76" t="s">
        <v>78</v>
      </c>
      <c r="C26" s="76" t="s">
        <v>57</v>
      </c>
      <c r="D26" s="76" t="s">
        <v>58</v>
      </c>
      <c r="E26" s="76" t="s">
        <v>37</v>
      </c>
      <c r="F26" s="76">
        <v>110</v>
      </c>
      <c r="G26" s="63">
        <v>408.82</v>
      </c>
      <c r="H26" s="77" t="s">
        <v>33</v>
      </c>
      <c r="I26" s="78">
        <f>TradingLogTable[[#This Row],[Quantity (positive number)]]*TradingLogTable[[#This Row],[Price per Unit]]</f>
        <v>44970.2</v>
      </c>
      <c r="J26" s="77">
        <v>10</v>
      </c>
      <c r="K26" s="79">
        <f t="shared" si="1"/>
        <v>44980.2</v>
      </c>
      <c r="L26" s="76">
        <v>110</v>
      </c>
      <c r="M26" s="80" t="s">
        <v>87</v>
      </c>
    </row>
    <row r="27" spans="1:14" ht="22.9" thickBot="1">
      <c r="A27" s="75">
        <v>46083</v>
      </c>
      <c r="B27" s="76" t="s">
        <v>78</v>
      </c>
      <c r="C27" s="76" t="s">
        <v>60</v>
      </c>
      <c r="D27" s="76" t="s">
        <v>61</v>
      </c>
      <c r="E27" s="76" t="s">
        <v>37</v>
      </c>
      <c r="F27" s="76">
        <v>388</v>
      </c>
      <c r="G27" s="63">
        <v>131.47999999999999</v>
      </c>
      <c r="H27" s="77" t="s">
        <v>33</v>
      </c>
      <c r="I27" s="78">
        <f>TradingLogTable[[#This Row],[Quantity (positive number)]]*TradingLogTable[[#This Row],[Price per Unit]]</f>
        <v>51014.239999999998</v>
      </c>
      <c r="J27" s="77">
        <v>10</v>
      </c>
      <c r="K27" s="79">
        <f t="shared" si="1"/>
        <v>51024.24</v>
      </c>
      <c r="L27" s="76">
        <v>388</v>
      </c>
      <c r="M27" s="80" t="s">
        <v>88</v>
      </c>
    </row>
    <row r="28" spans="1:14" ht="22.9" thickBot="1">
      <c r="A28" s="75">
        <v>46083</v>
      </c>
      <c r="B28" s="76" t="s">
        <v>78</v>
      </c>
      <c r="C28" s="76" t="s">
        <v>63</v>
      </c>
      <c r="D28" s="76" t="s">
        <v>64</v>
      </c>
      <c r="E28" s="76" t="s">
        <v>37</v>
      </c>
      <c r="F28" s="76">
        <v>150</v>
      </c>
      <c r="G28" s="63">
        <v>306.82</v>
      </c>
      <c r="H28" s="77" t="s">
        <v>33</v>
      </c>
      <c r="I28" s="78">
        <f>TradingLogTable[[#This Row],[Quantity (positive number)]]*TradingLogTable[[#This Row],[Price per Unit]]</f>
        <v>46023</v>
      </c>
      <c r="J28" s="77">
        <v>10</v>
      </c>
      <c r="K28" s="79">
        <f t="shared" si="1"/>
        <v>46033</v>
      </c>
      <c r="L28" s="76">
        <v>150</v>
      </c>
      <c r="M28" s="81" t="s">
        <v>89</v>
      </c>
    </row>
    <row r="29" spans="1:14" ht="22.9" thickBot="1">
      <c r="A29" s="75">
        <v>46083</v>
      </c>
      <c r="B29" s="76" t="s">
        <v>78</v>
      </c>
      <c r="C29" s="76" t="s">
        <v>66</v>
      </c>
      <c r="D29" s="76" t="s">
        <v>67</v>
      </c>
      <c r="E29" s="76" t="s">
        <v>37</v>
      </c>
      <c r="F29" s="76">
        <v>250</v>
      </c>
      <c r="G29" s="63">
        <v>200.87</v>
      </c>
      <c r="H29" s="77" t="s">
        <v>33</v>
      </c>
      <c r="I29" s="78">
        <f>TradingLogTable[[#This Row],[Quantity (positive number)]]*TradingLogTable[[#This Row],[Price per Unit]]</f>
        <v>50217.5</v>
      </c>
      <c r="J29" s="77">
        <v>10</v>
      </c>
      <c r="K29" s="79">
        <f t="shared" si="1"/>
        <v>50227.5</v>
      </c>
      <c r="L29" s="76">
        <v>250</v>
      </c>
      <c r="M29" s="81" t="s">
        <v>90</v>
      </c>
    </row>
    <row r="30" spans="1:14" ht="22.9" thickBot="1">
      <c r="A30" s="75">
        <v>46083</v>
      </c>
      <c r="B30" s="76" t="s">
        <v>78</v>
      </c>
      <c r="C30" s="76" t="s">
        <v>69</v>
      </c>
      <c r="D30" s="76" t="s">
        <v>70</v>
      </c>
      <c r="E30" s="76" t="s">
        <v>37</v>
      </c>
      <c r="F30" s="76">
        <v>130</v>
      </c>
      <c r="G30" s="63">
        <v>302.22000000000003</v>
      </c>
      <c r="H30" s="77" t="s">
        <v>33</v>
      </c>
      <c r="I30" s="78">
        <f>TradingLogTable[[#This Row],[Quantity (positive number)]]*TradingLogTable[[#This Row],[Price per Unit]]</f>
        <v>39288.600000000006</v>
      </c>
      <c r="J30" s="77">
        <v>10</v>
      </c>
      <c r="K30" s="79">
        <f t="shared" si="1"/>
        <v>39298.600000000006</v>
      </c>
      <c r="L30" s="76">
        <v>130</v>
      </c>
      <c r="M30" s="81" t="s">
        <v>91</v>
      </c>
    </row>
    <row r="31" spans="1:14" ht="22.9" thickBot="1">
      <c r="A31" s="75">
        <v>46083</v>
      </c>
      <c r="B31" s="76" t="s">
        <v>78</v>
      </c>
      <c r="C31" s="76" t="s">
        <v>72</v>
      </c>
      <c r="D31" s="76" t="s">
        <v>73</v>
      </c>
      <c r="E31" s="76" t="s">
        <v>37</v>
      </c>
      <c r="F31" s="76">
        <v>140</v>
      </c>
      <c r="G31" s="63">
        <v>329.44</v>
      </c>
      <c r="H31" s="77" t="s">
        <v>33</v>
      </c>
      <c r="I31" s="78">
        <f>TradingLogTable[[#This Row],[Quantity (positive number)]]*TradingLogTable[[#This Row],[Price per Unit]]</f>
        <v>46121.599999999999</v>
      </c>
      <c r="J31" s="77">
        <v>10</v>
      </c>
      <c r="K31" s="79">
        <f t="shared" si="1"/>
        <v>46131.6</v>
      </c>
      <c r="L31" s="76">
        <v>140</v>
      </c>
      <c r="M31" s="81" t="s">
        <v>92</v>
      </c>
    </row>
    <row r="32" spans="1:14" ht="45" thickBot="1">
      <c r="A32" s="75">
        <v>46083</v>
      </c>
      <c r="B32" s="76" t="s">
        <v>78</v>
      </c>
      <c r="C32" s="76" t="s">
        <v>75</v>
      </c>
      <c r="D32" s="76" t="s">
        <v>76</v>
      </c>
      <c r="E32" s="76" t="s">
        <v>37</v>
      </c>
      <c r="F32" s="76">
        <v>800</v>
      </c>
      <c r="G32" s="63">
        <v>33.6</v>
      </c>
      <c r="H32" s="77" t="s">
        <v>33</v>
      </c>
      <c r="I32" s="78">
        <f>TradingLogTable[[#This Row],[Quantity (positive number)]]*TradingLogTable[[#This Row],[Price per Unit]]</f>
        <v>26880</v>
      </c>
      <c r="J32" s="77">
        <v>10</v>
      </c>
      <c r="K32" s="79">
        <f t="shared" si="1"/>
        <v>26890</v>
      </c>
      <c r="L32" s="76">
        <v>800</v>
      </c>
      <c r="M32" s="81" t="s">
        <v>93</v>
      </c>
    </row>
    <row r="33" spans="1:15" ht="45" thickBot="1">
      <c r="A33" s="75">
        <v>46083</v>
      </c>
      <c r="B33" s="76" t="s">
        <v>29</v>
      </c>
      <c r="C33" s="76" t="s">
        <v>94</v>
      </c>
      <c r="D33" s="82" t="s">
        <v>95</v>
      </c>
      <c r="E33" s="76" t="s">
        <v>32</v>
      </c>
      <c r="F33" s="62">
        <v>60</v>
      </c>
      <c r="G33" s="83">
        <v>57.95</v>
      </c>
      <c r="H33" s="77" t="s">
        <v>33</v>
      </c>
      <c r="I33" s="78">
        <f>TradingLogTable[[#This Row],[Quantity (positive number)]]*TradingLogTable[[#This Row],[Price per Unit]]</f>
        <v>3477</v>
      </c>
      <c r="J33" s="77">
        <v>10</v>
      </c>
      <c r="K33" s="79">
        <f t="shared" ref="K33:K34" si="2">I33+J33</f>
        <v>3487</v>
      </c>
      <c r="L33" s="76">
        <f>TradingLogTable[[#This Row],[Quantity (positive number)]]</f>
        <v>60</v>
      </c>
      <c r="M33" s="81" t="s">
        <v>96</v>
      </c>
    </row>
    <row r="34" spans="1:15" ht="22.9" thickBot="1">
      <c r="A34" s="75">
        <v>46083</v>
      </c>
      <c r="B34" s="76" t="s">
        <v>29</v>
      </c>
      <c r="C34" s="76" t="s">
        <v>97</v>
      </c>
      <c r="D34" s="76" t="s">
        <v>98</v>
      </c>
      <c r="E34" s="76" t="s">
        <v>37</v>
      </c>
      <c r="F34" s="76">
        <v>75</v>
      </c>
      <c r="G34" s="83">
        <v>159.75</v>
      </c>
      <c r="H34" s="77" t="s">
        <v>33</v>
      </c>
      <c r="I34" s="78">
        <f>TradingLogTable[[#This Row],[Quantity (positive number)]]*TradingLogTable[[#This Row],[Price per Unit]]</f>
        <v>11981.25</v>
      </c>
      <c r="J34" s="77">
        <v>10</v>
      </c>
      <c r="K34" s="79">
        <f t="shared" si="2"/>
        <v>11991.25</v>
      </c>
      <c r="L34" s="76">
        <f>TradingLogTable[[#This Row],[Quantity (positive number)]]</f>
        <v>75</v>
      </c>
      <c r="M34" s="81" t="s">
        <v>99</v>
      </c>
    </row>
    <row r="35" spans="1:15" ht="22.9" thickBot="1">
      <c r="A35" s="54"/>
      <c r="B35" s="55"/>
      <c r="C35" s="55"/>
      <c r="D35" s="55"/>
      <c r="E35" s="55"/>
      <c r="F35" s="55"/>
      <c r="G35" s="56"/>
      <c r="H35" s="57"/>
      <c r="I35" s="58"/>
      <c r="J35" s="57"/>
      <c r="K35" s="59"/>
      <c r="L35" s="55"/>
      <c r="M35" s="60"/>
    </row>
    <row r="36" spans="1:15" ht="22.9" thickBot="1">
      <c r="A36" s="51">
        <v>46084</v>
      </c>
      <c r="B36" s="7" t="s">
        <v>78</v>
      </c>
      <c r="C36" s="7" t="s">
        <v>30</v>
      </c>
      <c r="D36" s="7" t="s">
        <v>31</v>
      </c>
      <c r="E36" s="7" t="s">
        <v>32</v>
      </c>
      <c r="F36" s="7">
        <v>295</v>
      </c>
      <c r="G36" s="48">
        <v>684.89</v>
      </c>
      <c r="H36" s="9" t="s">
        <v>33</v>
      </c>
      <c r="I36" s="8">
        <f>TradingLogTable[[#This Row],[Quantity (positive number)]]*TradingLogTable[[#This Row],[Price per Unit]]</f>
        <v>202042.55</v>
      </c>
      <c r="J36" s="9">
        <v>10</v>
      </c>
      <c r="K36" s="10">
        <f t="shared" ref="K36" si="3">I36+J36</f>
        <v>202052.55</v>
      </c>
      <c r="L36" s="7">
        <v>295</v>
      </c>
      <c r="M36" s="45" t="s">
        <v>100</v>
      </c>
    </row>
    <row r="37" spans="1:15" ht="22.9" thickBot="1">
      <c r="A37" s="51">
        <v>46084</v>
      </c>
      <c r="B37" s="7" t="s">
        <v>78</v>
      </c>
      <c r="C37" s="7" t="s">
        <v>39</v>
      </c>
      <c r="D37" s="7" t="s">
        <v>40</v>
      </c>
      <c r="E37" s="7" t="s">
        <v>32</v>
      </c>
      <c r="F37" s="7">
        <v>875</v>
      </c>
      <c r="G37" s="48">
        <v>89.52</v>
      </c>
      <c r="H37" s="9" t="s">
        <v>33</v>
      </c>
      <c r="I37" s="8">
        <v>78330</v>
      </c>
      <c r="J37" s="9">
        <v>10</v>
      </c>
      <c r="K37" s="10">
        <v>78340</v>
      </c>
      <c r="L37" s="7">
        <v>875</v>
      </c>
      <c r="M37" s="45" t="s">
        <v>101</v>
      </c>
    </row>
    <row r="38" spans="1:15" ht="22.9" thickBot="1">
      <c r="A38" s="51">
        <v>46084</v>
      </c>
      <c r="B38" s="7" t="s">
        <v>78</v>
      </c>
      <c r="C38" s="7" t="s">
        <v>42</v>
      </c>
      <c r="D38" s="7" t="s">
        <v>43</v>
      </c>
      <c r="E38" s="7" t="s">
        <v>37</v>
      </c>
      <c r="F38" s="7">
        <v>260</v>
      </c>
      <c r="G38" s="48">
        <v>244.64</v>
      </c>
      <c r="H38" s="9" t="s">
        <v>33</v>
      </c>
      <c r="I38" s="8">
        <v>63606.400000000001</v>
      </c>
      <c r="J38" s="9">
        <v>10</v>
      </c>
      <c r="K38" s="10">
        <v>63616.4</v>
      </c>
      <c r="L38" s="7">
        <v>260</v>
      </c>
      <c r="M38" s="45" t="s">
        <v>102</v>
      </c>
    </row>
    <row r="39" spans="1:15" ht="22.9" thickBot="1">
      <c r="A39" s="51">
        <v>46084</v>
      </c>
      <c r="B39" s="7" t="s">
        <v>78</v>
      </c>
      <c r="C39" s="7" t="s">
        <v>45</v>
      </c>
      <c r="D39" s="7" t="s">
        <v>103</v>
      </c>
      <c r="E39" s="7" t="s">
        <v>37</v>
      </c>
      <c r="F39" s="7">
        <v>235</v>
      </c>
      <c r="G39" s="48">
        <v>162.44999999999999</v>
      </c>
      <c r="H39" s="9" t="s">
        <v>33</v>
      </c>
      <c r="I39" s="8">
        <v>38175.75</v>
      </c>
      <c r="J39" s="9">
        <v>10</v>
      </c>
      <c r="K39" s="10">
        <v>38185.75</v>
      </c>
      <c r="L39" s="7">
        <v>235</v>
      </c>
      <c r="M39" s="45" t="s">
        <v>104</v>
      </c>
    </row>
    <row r="40" spans="1:15" ht="22.9" thickBot="1">
      <c r="A40" s="51">
        <v>46084</v>
      </c>
      <c r="B40" s="7" t="s">
        <v>78</v>
      </c>
      <c r="C40" s="7" t="s">
        <v>48</v>
      </c>
      <c r="D40" s="7" t="s">
        <v>49</v>
      </c>
      <c r="E40" s="7" t="s">
        <v>37</v>
      </c>
      <c r="F40" s="7">
        <v>570</v>
      </c>
      <c r="G40" s="48">
        <v>132.94999999999999</v>
      </c>
      <c r="H40" s="9" t="s">
        <v>33</v>
      </c>
      <c r="I40" s="8">
        <v>75781.5</v>
      </c>
      <c r="J40" s="9">
        <v>10</v>
      </c>
      <c r="K40" s="10">
        <v>75791.5</v>
      </c>
      <c r="L40" s="7">
        <v>570</v>
      </c>
      <c r="M40" s="45" t="s">
        <v>105</v>
      </c>
    </row>
    <row r="41" spans="1:15" ht="22.9" thickBot="1">
      <c r="A41" s="51">
        <v>46084</v>
      </c>
      <c r="B41" s="7" t="s">
        <v>78</v>
      </c>
      <c r="C41" s="7" t="s">
        <v>51</v>
      </c>
      <c r="D41" s="7" t="s">
        <v>52</v>
      </c>
      <c r="E41" s="7" t="s">
        <v>32</v>
      </c>
      <c r="F41" s="7">
        <v>800</v>
      </c>
      <c r="G41" s="48">
        <v>45.45</v>
      </c>
      <c r="H41" s="9" t="s">
        <v>33</v>
      </c>
      <c r="I41" s="8">
        <v>36360</v>
      </c>
      <c r="J41" s="9">
        <v>10</v>
      </c>
      <c r="K41" s="10">
        <v>36370</v>
      </c>
      <c r="L41" s="7">
        <v>800</v>
      </c>
      <c r="M41" s="45" t="s">
        <v>106</v>
      </c>
    </row>
    <row r="42" spans="1:15" ht="22.9" thickBot="1">
      <c r="A42" s="51">
        <v>46084</v>
      </c>
      <c r="B42" s="7" t="s">
        <v>78</v>
      </c>
      <c r="C42" s="7" t="s">
        <v>54</v>
      </c>
      <c r="D42" s="7" t="s">
        <v>107</v>
      </c>
      <c r="E42" s="7" t="s">
        <v>37</v>
      </c>
      <c r="F42" s="7">
        <v>230</v>
      </c>
      <c r="G42" s="48">
        <v>363.94</v>
      </c>
      <c r="H42" s="9" t="s">
        <v>33</v>
      </c>
      <c r="I42" s="8">
        <v>83706.2</v>
      </c>
      <c r="J42" s="9">
        <v>10</v>
      </c>
      <c r="K42" s="10">
        <v>83716.2</v>
      </c>
      <c r="L42" s="7">
        <v>230</v>
      </c>
      <c r="M42" s="45" t="s">
        <v>108</v>
      </c>
    </row>
    <row r="43" spans="1:15" ht="22.9" thickBot="1">
      <c r="A43" s="51">
        <v>46084</v>
      </c>
      <c r="B43" s="7" t="s">
        <v>109</v>
      </c>
      <c r="C43" s="7" t="s">
        <v>57</v>
      </c>
      <c r="D43" s="7" t="s">
        <v>58</v>
      </c>
      <c r="E43" s="7" t="s">
        <v>37</v>
      </c>
      <c r="F43" s="7">
        <v>95</v>
      </c>
      <c r="G43" s="48">
        <v>381.14</v>
      </c>
      <c r="H43" s="9" t="s">
        <v>33</v>
      </c>
      <c r="I43" s="8">
        <v>-36208.300000000003</v>
      </c>
      <c r="J43" s="9">
        <v>10</v>
      </c>
      <c r="K43" s="10">
        <v>-36198.300000000003</v>
      </c>
      <c r="L43" s="7">
        <v>15</v>
      </c>
      <c r="M43" s="45" t="s">
        <v>110</v>
      </c>
    </row>
    <row r="44" spans="1:15" ht="22.9" thickBot="1">
      <c r="A44" s="51">
        <v>46084</v>
      </c>
      <c r="B44" s="7" t="s">
        <v>78</v>
      </c>
      <c r="C44" s="7" t="s">
        <v>60</v>
      </c>
      <c r="D44" s="7" t="s">
        <v>111</v>
      </c>
      <c r="E44" s="7" t="s">
        <v>37</v>
      </c>
      <c r="F44" s="7">
        <v>388</v>
      </c>
      <c r="G44" s="48">
        <v>131.47999999999999</v>
      </c>
      <c r="H44" s="9" t="s">
        <v>33</v>
      </c>
      <c r="I44" s="8">
        <v>51014.239999999998</v>
      </c>
      <c r="J44" s="9">
        <v>10</v>
      </c>
      <c r="K44" s="10">
        <v>51024.24</v>
      </c>
      <c r="L44" s="7">
        <v>388</v>
      </c>
      <c r="M44" s="45" t="s">
        <v>112</v>
      </c>
      <c r="O44" s="3">
        <f>COUNT(G36:G62)</f>
        <v>27</v>
      </c>
    </row>
    <row r="45" spans="1:15" ht="22.9" thickBot="1">
      <c r="A45" s="51">
        <v>46084</v>
      </c>
      <c r="B45" s="7" t="s">
        <v>78</v>
      </c>
      <c r="C45" s="7" t="s">
        <v>63</v>
      </c>
      <c r="D45" s="7" t="s">
        <v>64</v>
      </c>
      <c r="E45" s="7" t="s">
        <v>37</v>
      </c>
      <c r="F45" s="7">
        <v>150</v>
      </c>
      <c r="G45" s="48">
        <v>306.82</v>
      </c>
      <c r="H45" s="9" t="s">
        <v>33</v>
      </c>
      <c r="I45" s="8">
        <v>46023</v>
      </c>
      <c r="J45" s="9">
        <v>10</v>
      </c>
      <c r="K45" s="10">
        <v>46033</v>
      </c>
      <c r="L45" s="7">
        <v>150</v>
      </c>
      <c r="M45" s="45" t="s">
        <v>113</v>
      </c>
    </row>
    <row r="46" spans="1:15" ht="22.9" thickBot="1">
      <c r="A46" s="51">
        <v>46084</v>
      </c>
      <c r="B46" s="7" t="s">
        <v>78</v>
      </c>
      <c r="C46" s="7" t="s">
        <v>66</v>
      </c>
      <c r="D46" s="7" t="s">
        <v>67</v>
      </c>
      <c r="E46" s="7" t="s">
        <v>37</v>
      </c>
      <c r="F46" s="7">
        <v>250</v>
      </c>
      <c r="G46" s="48">
        <v>200.87</v>
      </c>
      <c r="H46" s="9" t="s">
        <v>33</v>
      </c>
      <c r="I46" s="8">
        <v>50217.5</v>
      </c>
      <c r="J46" s="9">
        <v>10</v>
      </c>
      <c r="K46" s="10">
        <v>50227.5</v>
      </c>
      <c r="L46" s="7">
        <v>250</v>
      </c>
      <c r="M46" s="45" t="s">
        <v>114</v>
      </c>
    </row>
    <row r="47" spans="1:15" ht="22.9" thickBot="1">
      <c r="A47" s="51">
        <v>46084</v>
      </c>
      <c r="B47" s="7" t="s">
        <v>78</v>
      </c>
      <c r="C47" s="7" t="s">
        <v>69</v>
      </c>
      <c r="D47" s="7" t="s">
        <v>115</v>
      </c>
      <c r="E47" s="7" t="s">
        <v>37</v>
      </c>
      <c r="F47" s="7">
        <v>130</v>
      </c>
      <c r="G47" s="48">
        <v>302.22000000000003</v>
      </c>
      <c r="H47" s="9" t="s">
        <v>33</v>
      </c>
      <c r="I47" s="8">
        <v>39288.6</v>
      </c>
      <c r="J47" s="9">
        <v>10</v>
      </c>
      <c r="K47" s="10">
        <v>39298.6</v>
      </c>
      <c r="L47" s="7">
        <v>130</v>
      </c>
      <c r="M47" s="45" t="s">
        <v>116</v>
      </c>
    </row>
    <row r="48" spans="1:15" ht="22.9" thickBot="1">
      <c r="A48" s="51">
        <v>46084</v>
      </c>
      <c r="B48" s="7" t="s">
        <v>78</v>
      </c>
      <c r="C48" s="7" t="s">
        <v>72</v>
      </c>
      <c r="D48" s="7" t="s">
        <v>73</v>
      </c>
      <c r="E48" s="7" t="s">
        <v>37</v>
      </c>
      <c r="F48" s="7">
        <v>140</v>
      </c>
      <c r="G48" s="48">
        <v>329.44</v>
      </c>
      <c r="H48" s="9" t="s">
        <v>33</v>
      </c>
      <c r="I48" s="8">
        <v>46121.599999999999</v>
      </c>
      <c r="J48" s="9">
        <v>10</v>
      </c>
      <c r="K48" s="10">
        <v>46131.6</v>
      </c>
      <c r="L48" s="7">
        <v>140</v>
      </c>
      <c r="M48" s="45" t="s">
        <v>117</v>
      </c>
    </row>
    <row r="49" spans="1:13" ht="22.9" thickBot="1">
      <c r="A49" s="51">
        <v>46084</v>
      </c>
      <c r="B49" s="7" t="s">
        <v>78</v>
      </c>
      <c r="C49" s="7" t="s">
        <v>75</v>
      </c>
      <c r="D49" s="7" t="s">
        <v>76</v>
      </c>
      <c r="E49" s="7" t="s">
        <v>37</v>
      </c>
      <c r="F49" s="7">
        <v>800</v>
      </c>
      <c r="G49" s="48">
        <v>33.6</v>
      </c>
      <c r="H49" s="9" t="s">
        <v>33</v>
      </c>
      <c r="I49" s="8">
        <v>26880</v>
      </c>
      <c r="J49" s="9">
        <v>10</v>
      </c>
      <c r="K49" s="10">
        <v>26890</v>
      </c>
      <c r="L49" s="7">
        <v>800</v>
      </c>
      <c r="M49" s="45" t="s">
        <v>118</v>
      </c>
    </row>
    <row r="50" spans="1:13" ht="22.9" thickBot="1">
      <c r="A50" s="51">
        <v>46084</v>
      </c>
      <c r="B50" s="7" t="s">
        <v>78</v>
      </c>
      <c r="C50" s="7" t="s">
        <v>94</v>
      </c>
      <c r="D50" s="7" t="s">
        <v>119</v>
      </c>
      <c r="E50" s="7" t="s">
        <v>32</v>
      </c>
      <c r="F50" s="7">
        <v>60</v>
      </c>
      <c r="G50" s="48">
        <v>57.95</v>
      </c>
      <c r="H50" s="9" t="s">
        <v>33</v>
      </c>
      <c r="I50" s="8">
        <v>3477</v>
      </c>
      <c r="J50" s="9">
        <v>10</v>
      </c>
      <c r="K50" s="10">
        <v>3487</v>
      </c>
      <c r="L50" s="7">
        <v>60</v>
      </c>
      <c r="M50" s="45" t="s">
        <v>120</v>
      </c>
    </row>
    <row r="51" spans="1:13" ht="22.9" thickBot="1">
      <c r="A51" s="51">
        <v>46084</v>
      </c>
      <c r="B51" s="7" t="s">
        <v>78</v>
      </c>
      <c r="C51" s="7" t="s">
        <v>97</v>
      </c>
      <c r="D51" s="7" t="s">
        <v>98</v>
      </c>
      <c r="E51" s="7" t="s">
        <v>37</v>
      </c>
      <c r="F51" s="7">
        <v>75</v>
      </c>
      <c r="G51" s="48">
        <v>159.75</v>
      </c>
      <c r="H51" s="9" t="s">
        <v>33</v>
      </c>
      <c r="I51" s="8">
        <v>11981.25</v>
      </c>
      <c r="J51" s="9">
        <v>10</v>
      </c>
      <c r="K51" s="10">
        <v>11991.25</v>
      </c>
      <c r="L51" s="7">
        <v>75</v>
      </c>
      <c r="M51" s="45" t="s">
        <v>121</v>
      </c>
    </row>
    <row r="52" spans="1:13" ht="22.9" thickBot="1">
      <c r="A52" s="51">
        <v>46084</v>
      </c>
      <c r="B52" s="7" t="s">
        <v>122</v>
      </c>
      <c r="C52" s="7" t="s">
        <v>72</v>
      </c>
      <c r="D52" s="7" t="s">
        <v>73</v>
      </c>
      <c r="E52" s="7" t="s">
        <v>37</v>
      </c>
      <c r="F52" s="7">
        <v>140</v>
      </c>
      <c r="G52" s="48">
        <v>329.81</v>
      </c>
      <c r="H52" s="9" t="s">
        <v>33</v>
      </c>
      <c r="I52" s="8">
        <v>-46173.4</v>
      </c>
      <c r="J52" s="9">
        <v>10</v>
      </c>
      <c r="K52" s="10">
        <v>-46163.4</v>
      </c>
      <c r="L52" s="7">
        <v>0</v>
      </c>
      <c r="M52" s="45" t="s">
        <v>123</v>
      </c>
    </row>
    <row r="53" spans="1:13" ht="22.9" thickBot="1">
      <c r="A53" s="51">
        <v>46085</v>
      </c>
      <c r="B53" s="7" t="s">
        <v>122</v>
      </c>
      <c r="C53" s="7" t="s">
        <v>35</v>
      </c>
      <c r="D53" s="7" t="s">
        <v>124</v>
      </c>
      <c r="E53" s="7" t="s">
        <v>37</v>
      </c>
      <c r="F53" s="7">
        <v>100</v>
      </c>
      <c r="G53" s="48">
        <v>654.17999999999995</v>
      </c>
      <c r="H53" s="9" t="s">
        <v>33</v>
      </c>
      <c r="I53" s="8">
        <v>-65418</v>
      </c>
      <c r="J53" s="9">
        <v>10</v>
      </c>
      <c r="K53" s="10">
        <v>-65408</v>
      </c>
      <c r="L53" s="7">
        <v>0</v>
      </c>
      <c r="M53" s="45" t="s">
        <v>125</v>
      </c>
    </row>
    <row r="54" spans="1:13" ht="22.9" thickBot="1">
      <c r="A54" s="51">
        <v>46090</v>
      </c>
      <c r="B54" s="7" t="s">
        <v>78</v>
      </c>
      <c r="C54" s="7" t="s">
        <v>69</v>
      </c>
      <c r="D54" s="7" t="s">
        <v>115</v>
      </c>
      <c r="E54" s="7" t="s">
        <v>37</v>
      </c>
      <c r="F54" s="7">
        <v>130</v>
      </c>
      <c r="G54" s="48">
        <v>0.21</v>
      </c>
      <c r="H54" s="9" t="s">
        <v>33</v>
      </c>
      <c r="I54" s="8">
        <v>27.3</v>
      </c>
      <c r="J54" s="9">
        <v>0</v>
      </c>
      <c r="K54" s="10">
        <v>27.3</v>
      </c>
      <c r="L54" s="7">
        <v>130</v>
      </c>
      <c r="M54" s="45" t="s">
        <v>126</v>
      </c>
    </row>
    <row r="55" spans="1:13" ht="22.9" thickBot="1">
      <c r="A55" s="51">
        <v>46093</v>
      </c>
      <c r="B55" s="7" t="s">
        <v>122</v>
      </c>
      <c r="C55" s="7" t="s">
        <v>48</v>
      </c>
      <c r="D55" s="7" t="s">
        <v>49</v>
      </c>
      <c r="E55" s="7" t="s">
        <v>37</v>
      </c>
      <c r="F55" s="7">
        <v>570</v>
      </c>
      <c r="G55" s="48">
        <v>124.61</v>
      </c>
      <c r="H55" s="9" t="s">
        <v>33</v>
      </c>
      <c r="I55" s="8">
        <v>-71027.7</v>
      </c>
      <c r="J55" s="9">
        <v>10</v>
      </c>
      <c r="K55" s="10">
        <v>-71017.7</v>
      </c>
      <c r="L55" s="7">
        <v>0</v>
      </c>
      <c r="M55" s="45" t="s">
        <v>127</v>
      </c>
    </row>
    <row r="56" spans="1:13" ht="22.9" thickBot="1">
      <c r="A56" s="51">
        <v>46093</v>
      </c>
      <c r="B56" s="7" t="s">
        <v>122</v>
      </c>
      <c r="C56" s="7" t="s">
        <v>63</v>
      </c>
      <c r="D56" s="7" t="s">
        <v>64</v>
      </c>
      <c r="E56" s="7" t="s">
        <v>37</v>
      </c>
      <c r="F56" s="7">
        <v>150</v>
      </c>
      <c r="G56" s="48">
        <v>281.04000000000002</v>
      </c>
      <c r="H56" s="9" t="s">
        <v>33</v>
      </c>
      <c r="I56" s="8">
        <v>-42156</v>
      </c>
      <c r="J56" s="9">
        <v>10</v>
      </c>
      <c r="K56" s="10">
        <v>-42146</v>
      </c>
      <c r="L56" s="7">
        <v>0</v>
      </c>
      <c r="M56" s="45" t="s">
        <v>128</v>
      </c>
    </row>
    <row r="57" spans="1:13" ht="22.9" thickBot="1">
      <c r="A57" s="51">
        <v>46093</v>
      </c>
      <c r="B57" s="7" t="s">
        <v>109</v>
      </c>
      <c r="C57" s="7" t="s">
        <v>39</v>
      </c>
      <c r="D57" s="7" t="s">
        <v>40</v>
      </c>
      <c r="E57" s="7" t="s">
        <v>32</v>
      </c>
      <c r="F57" s="7">
        <v>435</v>
      </c>
      <c r="G57" s="48">
        <v>84.58</v>
      </c>
      <c r="H57" s="9" t="s">
        <v>33</v>
      </c>
      <c r="I57" s="8">
        <v>-36792.300000000003</v>
      </c>
      <c r="J57" s="9">
        <v>10</v>
      </c>
      <c r="K57" s="10">
        <v>-36782.300000000003</v>
      </c>
      <c r="L57" s="7">
        <v>440</v>
      </c>
      <c r="M57" s="45" t="s">
        <v>129</v>
      </c>
    </row>
    <row r="58" spans="1:13" ht="22.9" thickBot="1">
      <c r="A58" s="51">
        <v>46094</v>
      </c>
      <c r="B58" s="7" t="s">
        <v>29</v>
      </c>
      <c r="C58" s="7" t="s">
        <v>35</v>
      </c>
      <c r="D58" s="7" t="s">
        <v>124</v>
      </c>
      <c r="E58" s="7" t="s">
        <v>37</v>
      </c>
      <c r="F58" s="7">
        <v>120</v>
      </c>
      <c r="G58" s="48">
        <v>651.62</v>
      </c>
      <c r="H58" s="9" t="s">
        <v>33</v>
      </c>
      <c r="I58" s="8">
        <v>78194.399999999994</v>
      </c>
      <c r="J58" s="9">
        <v>10</v>
      </c>
      <c r="K58" s="10">
        <v>78204.399999999994</v>
      </c>
      <c r="L58" s="7">
        <v>120</v>
      </c>
      <c r="M58" s="45" t="s">
        <v>130</v>
      </c>
    </row>
    <row r="59" spans="1:13" ht="22.9" thickBot="1">
      <c r="A59" s="51">
        <v>46094</v>
      </c>
      <c r="B59" s="7" t="s">
        <v>29</v>
      </c>
      <c r="C59" s="7" t="s">
        <v>131</v>
      </c>
      <c r="D59" s="7" t="s">
        <v>132</v>
      </c>
      <c r="E59" s="7" t="s">
        <v>37</v>
      </c>
      <c r="F59" s="7">
        <v>610</v>
      </c>
      <c r="G59" s="48">
        <v>116.98</v>
      </c>
      <c r="H59" s="9" t="s">
        <v>33</v>
      </c>
      <c r="I59" s="8">
        <v>71357.8</v>
      </c>
      <c r="J59" s="9">
        <v>10</v>
      </c>
      <c r="K59" s="10">
        <v>71367.8</v>
      </c>
      <c r="L59" s="7">
        <v>610</v>
      </c>
      <c r="M59" s="45" t="s">
        <v>133</v>
      </c>
    </row>
    <row r="60" spans="1:13" ht="22.9" thickBot="1">
      <c r="A60" s="51">
        <v>46097</v>
      </c>
      <c r="B60" s="7" t="s">
        <v>29</v>
      </c>
      <c r="C60" s="7" t="s">
        <v>134</v>
      </c>
      <c r="D60" s="7" t="s">
        <v>135</v>
      </c>
      <c r="E60" s="7" t="s">
        <v>32</v>
      </c>
      <c r="F60" s="7">
        <v>100</v>
      </c>
      <c r="G60" s="48">
        <v>231.91</v>
      </c>
      <c r="H60" s="9" t="s">
        <v>33</v>
      </c>
      <c r="I60" s="8">
        <v>23191</v>
      </c>
      <c r="J60" s="9">
        <v>10</v>
      </c>
      <c r="K60" s="10">
        <v>23201</v>
      </c>
      <c r="L60" s="7">
        <v>100</v>
      </c>
      <c r="M60" s="45" t="s">
        <v>136</v>
      </c>
    </row>
    <row r="61" spans="1:13" ht="22.9" thickBot="1">
      <c r="A61" s="51">
        <v>46097</v>
      </c>
      <c r="B61" s="7" t="s">
        <v>29</v>
      </c>
      <c r="C61" s="7" t="s">
        <v>137</v>
      </c>
      <c r="D61" s="7" t="s">
        <v>138</v>
      </c>
      <c r="E61" s="7" t="s">
        <v>37</v>
      </c>
      <c r="F61" s="7">
        <v>135</v>
      </c>
      <c r="G61" s="48">
        <v>124.8</v>
      </c>
      <c r="H61" s="9" t="s">
        <v>33</v>
      </c>
      <c r="I61" s="8">
        <v>16848</v>
      </c>
      <c r="J61" s="9">
        <v>10</v>
      </c>
      <c r="K61" s="10">
        <v>16858</v>
      </c>
      <c r="L61" s="7">
        <v>135</v>
      </c>
      <c r="M61" s="45" t="s">
        <v>139</v>
      </c>
    </row>
    <row r="62" spans="1:13" ht="22.9" thickBot="1">
      <c r="A62" s="51">
        <v>46097</v>
      </c>
      <c r="B62" s="7" t="s">
        <v>29</v>
      </c>
      <c r="C62" s="7" t="s">
        <v>140</v>
      </c>
      <c r="D62" s="7" t="s">
        <v>141</v>
      </c>
      <c r="E62" s="7" t="s">
        <v>37</v>
      </c>
      <c r="F62" s="7">
        <v>274</v>
      </c>
      <c r="G62" s="48">
        <v>184.04</v>
      </c>
      <c r="H62" s="9" t="s">
        <v>33</v>
      </c>
      <c r="I62" s="8">
        <v>50426.96</v>
      </c>
      <c r="J62" s="9">
        <v>10</v>
      </c>
      <c r="K62" s="10">
        <v>50436.959999999999</v>
      </c>
      <c r="L62" s="7">
        <v>274</v>
      </c>
      <c r="M62" s="45" t="s">
        <v>142</v>
      </c>
    </row>
    <row r="63" spans="1:13" ht="22.9" thickBot="1">
      <c r="A63" s="51">
        <v>46097</v>
      </c>
      <c r="B63" s="7" t="s">
        <v>29</v>
      </c>
      <c r="C63" s="7" t="s">
        <v>143</v>
      </c>
      <c r="D63" s="7" t="s">
        <v>144</v>
      </c>
      <c r="E63" s="7" t="s">
        <v>37</v>
      </c>
      <c r="F63" s="7">
        <v>161</v>
      </c>
      <c r="G63" s="48">
        <v>155.76</v>
      </c>
      <c r="H63" s="9" t="s">
        <v>33</v>
      </c>
      <c r="I63" s="8">
        <v>25077.360000000001</v>
      </c>
      <c r="J63" s="9">
        <v>10</v>
      </c>
      <c r="K63" s="10">
        <v>25087.360000000001</v>
      </c>
      <c r="L63" s="7">
        <v>161</v>
      </c>
      <c r="M63" s="45" t="s">
        <v>145</v>
      </c>
    </row>
    <row r="64" spans="1:13" ht="22.9" thickBot="1">
      <c r="A64" s="51">
        <v>46097</v>
      </c>
      <c r="B64" s="7" t="s">
        <v>29</v>
      </c>
      <c r="C64" s="7" t="s">
        <v>146</v>
      </c>
      <c r="D64" s="7" t="s">
        <v>147</v>
      </c>
      <c r="E64" s="7" t="s">
        <v>32</v>
      </c>
      <c r="F64" s="7">
        <v>120</v>
      </c>
      <c r="G64" s="48">
        <v>167.12</v>
      </c>
      <c r="H64" s="9" t="s">
        <v>33</v>
      </c>
      <c r="I64" s="8">
        <v>20054.400000000001</v>
      </c>
      <c r="J64" s="9">
        <v>10</v>
      </c>
      <c r="K64" s="10">
        <v>20064.400000000001</v>
      </c>
      <c r="L64" s="7">
        <v>120</v>
      </c>
      <c r="M64" s="45" t="s">
        <v>148</v>
      </c>
    </row>
    <row r="65" spans="1:13" ht="22.9" thickBot="1">
      <c r="A65" s="51">
        <v>46097</v>
      </c>
      <c r="B65" s="7" t="s">
        <v>29</v>
      </c>
      <c r="C65" s="7" t="s">
        <v>149</v>
      </c>
      <c r="D65" s="7" t="s">
        <v>150</v>
      </c>
      <c r="E65" s="7" t="s">
        <v>37</v>
      </c>
      <c r="F65" s="7">
        <v>150</v>
      </c>
      <c r="G65" s="48">
        <v>126.69499999999999</v>
      </c>
      <c r="H65" s="9" t="s">
        <v>33</v>
      </c>
      <c r="I65" s="8">
        <v>19004.25</v>
      </c>
      <c r="J65" s="9">
        <v>10</v>
      </c>
      <c r="K65" s="10">
        <v>19014.25</v>
      </c>
      <c r="L65" s="7">
        <v>150</v>
      </c>
      <c r="M65" s="45" t="s">
        <v>151</v>
      </c>
    </row>
    <row r="66" spans="1:13">
      <c r="A66" s="52"/>
      <c r="B66" s="4"/>
      <c r="C66" s="4"/>
      <c r="E66" s="4"/>
      <c r="F66" s="4"/>
      <c r="I66" s="3" t="str">
        <f ca="1">_xlfn.FORMULATEXT(I18)</f>
        <v>=[@[Quantity (positive number)]]*[@[Price per Unit]]</v>
      </c>
      <c r="K66" s="12"/>
      <c r="L66" s="4"/>
      <c r="M66" s="46"/>
    </row>
    <row r="68" spans="1:13">
      <c r="K68" s="12">
        <f>SUM(K36:K65)</f>
        <v>859701.36</v>
      </c>
    </row>
    <row r="69" spans="1:13">
      <c r="D69" s="3"/>
    </row>
    <row r="70" spans="1:13">
      <c r="D70" s="3"/>
    </row>
    <row r="71" spans="1:13">
      <c r="D71" s="3"/>
      <c r="K71"/>
      <c r="L71"/>
      <c r="M71"/>
    </row>
    <row r="72" spans="1:13">
      <c r="D72" s="3"/>
      <c r="K72"/>
      <c r="L72"/>
      <c r="M72"/>
    </row>
    <row r="73" spans="1:13">
      <c r="D73" s="3"/>
      <c r="K73"/>
      <c r="L73"/>
      <c r="M73"/>
    </row>
    <row r="74" spans="1:13">
      <c r="D74" s="3"/>
      <c r="K74"/>
      <c r="L74"/>
      <c r="M74"/>
    </row>
    <row r="75" spans="1:13">
      <c r="D75" s="3"/>
      <c r="K75"/>
      <c r="L75"/>
      <c r="M75"/>
    </row>
    <row r="76" spans="1:13">
      <c r="D76" s="3"/>
      <c r="K76"/>
      <c r="L76"/>
      <c r="M76"/>
    </row>
    <row r="77" spans="1:13">
      <c r="D77" s="3"/>
      <c r="K77"/>
      <c r="L77"/>
      <c r="M77"/>
    </row>
    <row r="78" spans="1:13">
      <c r="D78" s="3"/>
      <c r="K78"/>
      <c r="L78"/>
      <c r="M78"/>
    </row>
    <row r="79" spans="1:13">
      <c r="D79" s="3"/>
      <c r="K79"/>
      <c r="L79"/>
      <c r="M79"/>
    </row>
    <row r="80" spans="1:13">
      <c r="D80" s="3"/>
      <c r="K80"/>
      <c r="L80"/>
      <c r="M80"/>
    </row>
    <row r="81" spans="4:13">
      <c r="D81" s="3"/>
      <c r="K81"/>
      <c r="L81"/>
      <c r="M81"/>
    </row>
    <row r="82" spans="4:13">
      <c r="D82" s="3"/>
      <c r="K82"/>
      <c r="L82"/>
      <c r="M82"/>
    </row>
    <row r="83" spans="4:13">
      <c r="D83" s="3"/>
      <c r="K83"/>
      <c r="L83"/>
      <c r="M83"/>
    </row>
    <row r="84" spans="4:13">
      <c r="D84" s="3"/>
      <c r="K84"/>
      <c r="L84"/>
      <c r="M84"/>
    </row>
    <row r="85" spans="4:13">
      <c r="D85" s="3"/>
      <c r="K85"/>
      <c r="L85"/>
      <c r="M85"/>
    </row>
    <row r="86" spans="4:13">
      <c r="D86" s="3"/>
      <c r="K86"/>
      <c r="L86"/>
      <c r="M86"/>
    </row>
    <row r="87" spans="4:13">
      <c r="D87" s="3"/>
      <c r="K87"/>
      <c r="L87"/>
      <c r="M87"/>
    </row>
    <row r="88" spans="4:13">
      <c r="K88"/>
      <c r="L88"/>
      <c r="M88"/>
    </row>
    <row r="89" spans="4:13">
      <c r="K89"/>
      <c r="L89"/>
      <c r="M89"/>
    </row>
    <row r="90" spans="4:13">
      <c r="K90"/>
      <c r="L90"/>
      <c r="M90"/>
    </row>
    <row r="91" spans="4:13">
      <c r="K91"/>
      <c r="L91"/>
      <c r="M91"/>
    </row>
    <row r="92" spans="4:13">
      <c r="K92"/>
      <c r="L92"/>
      <c r="M92"/>
    </row>
  </sheetData>
  <pageMargins left="0.7" right="0.7" top="0.75" bottom="0.75" header="0.3" footer="0.3"/>
  <pageSetup orientation="portrait" r:id="rId1"/>
  <ignoredErrors>
    <ignoredError sqref="G18 G22 G19:G21 G23:G34 G2:G16" calculatedColumn="1"/>
  </ignoredErrors>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VALIDATION_LISTS!$A$1:$A$4</xm:f>
          </x14:formula1>
          <xm:sqref>B67:B68 B88:B1053 B18:B36</xm:sqref>
        </x14:dataValidation>
        <x14:dataValidation type="list" allowBlank="1" showInputMessage="1" showErrorMessage="1" xr:uid="{00000000-0002-0000-0000-000001000000}">
          <x14:formula1>
            <xm:f>VALIDATION_LISTS!$B$1:$B$10</xm:f>
          </x14:formula1>
          <xm:sqref>E88:E1052 E67:E68 E18:E36</xm:sqref>
        </x14:dataValidation>
        <x14:dataValidation type="list" allowBlank="1" showInputMessage="1" showErrorMessage="1" xr:uid="{00000000-0002-0000-0000-000002000000}">
          <x14:formula1>
            <xm:f>VALIDATION_LISTS!$C$1:$C$8</xm:f>
          </x14:formula1>
          <xm:sqref>H67:H68 H88:H1055 H18:H36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E6D5-2349-48CD-930B-FCC41DCF6C2C}">
  <dimension ref="A1:R25"/>
  <sheetViews>
    <sheetView topLeftCell="J1" zoomScale="45" zoomScaleNormal="65" workbookViewId="0">
      <selection activeCell="AK14" sqref="AK14"/>
    </sheetView>
  </sheetViews>
  <sheetFormatPr defaultColWidth="13.28515625" defaultRowHeight="14.45"/>
  <cols>
    <col min="1" max="1" width="13.28515625" customWidth="1"/>
    <col min="3" max="3" width="59.28515625" bestFit="1" customWidth="1"/>
    <col min="6" max="6" width="18.7109375" bestFit="1" customWidth="1"/>
    <col min="7" max="16" width="13.42578125" bestFit="1" customWidth="1"/>
    <col min="17" max="17" width="19.42578125" customWidth="1"/>
    <col min="18" max="18" width="23.7109375" customWidth="1"/>
  </cols>
  <sheetData>
    <row r="1" spans="1:18" ht="148.9">
      <c r="A1" s="24"/>
      <c r="B1" s="6"/>
      <c r="C1" s="29" t="s">
        <v>152</v>
      </c>
      <c r="D1" s="29" t="s">
        <v>153</v>
      </c>
      <c r="E1" s="29" t="s">
        <v>154</v>
      </c>
      <c r="F1" s="29" t="s">
        <v>155</v>
      </c>
      <c r="G1" s="29" t="s">
        <v>156</v>
      </c>
      <c r="H1" s="29" t="s">
        <v>29</v>
      </c>
      <c r="I1" s="29" t="s">
        <v>157</v>
      </c>
      <c r="J1" s="29" t="s">
        <v>158</v>
      </c>
      <c r="K1" s="29" t="s">
        <v>159</v>
      </c>
      <c r="L1" s="29" t="s">
        <v>160</v>
      </c>
      <c r="M1" s="29" t="s">
        <v>161</v>
      </c>
      <c r="N1" s="29" t="s">
        <v>162</v>
      </c>
      <c r="O1" s="29" t="s">
        <v>163</v>
      </c>
      <c r="P1" s="29" t="s">
        <v>164</v>
      </c>
      <c r="Q1" s="29" t="s">
        <v>165</v>
      </c>
      <c r="R1" s="29" t="s">
        <v>166</v>
      </c>
    </row>
    <row r="2" spans="1:18" ht="22.15">
      <c r="A2" s="11"/>
      <c r="B2" s="3" t="str" cm="1">
        <f t="array" aca="1" ref="B2" ca="1">_FV(C2,"Ticker symbol",TRUE)</f>
        <v>SPY</v>
      </c>
      <c r="C2" s="3" t="e" vm="2">
        <v>#VALUE!</v>
      </c>
      <c r="D2" s="3" t="str" cm="1">
        <f t="array" aca="1" ref="D2" ca="1">_FV(C2,"Exchange abbreviation",TRUE)</f>
        <v>ARCX</v>
      </c>
      <c r="E2" s="3" t="str" cm="1">
        <f t="array" aca="1" ref="E2" ca="1">_FV(C2,"Instrument type",TRUE)</f>
        <v>ETF</v>
      </c>
      <c r="F2" s="25" cm="1">
        <f t="array" aca="1" ref="F2" ca="1">_FV(C2,"Last trade time",TRUE)</f>
        <v>46097.865051353903</v>
      </c>
      <c r="G2" s="28" cm="1">
        <f t="array" aca="1" ref="G2" ca="1">_FV(C2,"Volume")</f>
        <v>81122562</v>
      </c>
      <c r="H2" s="23" cm="1">
        <f t="array" aca="1" ref="H2" ca="1">_FV(C2,"Open")</f>
        <v>668.38</v>
      </c>
      <c r="I2" s="26" cm="1">
        <f t="array" aca="1" ref="I2" ca="1">_FV(C2,"Beta")</f>
        <v>0.99870000000000003</v>
      </c>
      <c r="J2" s="23" cm="1">
        <f t="array" aca="1" ref="J2" ca="1">_FV(C2,"Price")</f>
        <v>668.95</v>
      </c>
      <c r="K2" s="23" cm="1">
        <f t="array" aca="1" ref="K2" ca="1">_FV(C2,"Change")</f>
        <v>6.66</v>
      </c>
      <c r="L2" s="27" cm="1">
        <f t="array" aca="1" ref="L2" ca="1">_FV(C2,"Change (%)",TRUE)</f>
        <v>1.0056000000000001E-2</v>
      </c>
      <c r="M2" s="23" cm="1">
        <f t="array" aca="1" ref="M2" ca="1">_FV(C2,"High")</f>
        <v>672.07</v>
      </c>
      <c r="N2" s="23" cm="1">
        <f t="array" aca="1" ref="N2" ca="1">_FV(C2,"Low")</f>
        <v>667.12</v>
      </c>
      <c r="O2" s="23" cm="1">
        <f t="array" aca="1" ref="O2" ca="1">_FV(C2,"52 week high",TRUE)</f>
        <v>697.84</v>
      </c>
      <c r="P2" s="23" cm="1">
        <f t="array" aca="1" ref="P2" ca="1">_FV(C2,"52 week low",TRUE)</f>
        <v>481.8</v>
      </c>
      <c r="Q2" s="23" cm="1">
        <f t="array" aca="1" ref="Q2" ca="1">_FV(C2,"Previous close",TRUE)</f>
        <v>662.29</v>
      </c>
      <c r="R2" s="44" cm="1">
        <f t="array" aca="1" ref="R2" ca="1">_FV(C2,"Market cap",TRUE)</f>
        <v>698270243919.53003</v>
      </c>
    </row>
    <row r="3" spans="1:18" ht="22.15">
      <c r="A3" s="11"/>
      <c r="B3" s="3" t="str" cm="1">
        <f t="array" aca="1" ref="B3" ca="1">_FV(C3,"Ticker symbol",TRUE)</f>
        <v>LMT</v>
      </c>
      <c r="C3" s="3" t="e" vm="3">
        <v>#VALUE!</v>
      </c>
      <c r="D3" s="3" t="str" cm="1">
        <f t="array" aca="1" ref="D3" ca="1">_FV(C3,"Exchange abbreviation",TRUE)</f>
        <v>XNYS</v>
      </c>
      <c r="E3" s="3" t="str" cm="1">
        <f t="array" aca="1" ref="E3" ca="1">_FV(C3,"Instrument type",TRUE)</f>
        <v>Stock</v>
      </c>
      <c r="F3" s="25" cm="1">
        <f t="array" aca="1" ref="F3" ca="1">_FV(C3,"Last trade time",TRUE)</f>
        <v>46097.863621978904</v>
      </c>
      <c r="G3" s="28" cm="1">
        <f t="array" aca="1" ref="G3" ca="1">_FV(C3,"Volume")</f>
        <v>1179134</v>
      </c>
      <c r="H3" s="23" cm="1">
        <f t="array" aca="1" ref="H3" ca="1">_FV(C3,"Open")</f>
        <v>645.22500000000002</v>
      </c>
      <c r="I3" s="26" cm="1">
        <f t="array" aca="1" ref="I3" ca="1">_FV(C3,"Beta")</f>
        <v>0.20580000000000001</v>
      </c>
      <c r="J3" s="23" cm="1">
        <f t="array" aca="1" ref="J3" ca="1">_FV(C3,"Price")</f>
        <v>645.505</v>
      </c>
      <c r="K3" s="23" cm="1">
        <f t="array" aca="1" ref="K3" ca="1">_FV(C3,"Change")</f>
        <v>-0.495</v>
      </c>
      <c r="L3" s="27" cm="1">
        <f t="array" aca="1" ref="L3" ca="1">_FV(C3,"Change (%)",TRUE)</f>
        <v>-7.6630000000000003E-4</v>
      </c>
      <c r="M3" s="23" cm="1">
        <f t="array" aca="1" ref="M3" ca="1">_FV(C3,"High")</f>
        <v>651.54999999999995</v>
      </c>
      <c r="N3" s="23" cm="1">
        <f t="array" aca="1" ref="N3" ca="1">_FV(C3,"Low")</f>
        <v>639</v>
      </c>
      <c r="O3" s="23" cm="1">
        <f t="array" aca="1" ref="O3" ca="1">_FV(C3,"52 week high",TRUE)</f>
        <v>692</v>
      </c>
      <c r="P3" s="23" cm="1">
        <f t="array" aca="1" ref="P3" ca="1">_FV(C3,"52 week low",TRUE)</f>
        <v>410.11</v>
      </c>
      <c r="Q3" s="23" cm="1">
        <f t="array" aca="1" ref="Q3" ca="1">_FV(C3,"Previous close",TRUE)</f>
        <v>646</v>
      </c>
      <c r="R3" s="44" cm="1">
        <f t="array" aca="1" ref="R3" ca="1">_FV(C3,"Market cap",TRUE)</f>
        <v>148517919501</v>
      </c>
    </row>
    <row r="4" spans="1:18" ht="22.15">
      <c r="A4" s="11"/>
      <c r="B4" s="3" t="str" cm="1">
        <f t="array" aca="1" ref="B4" ca="1">_FV(C4,"Ticker symbol",TRUE)</f>
        <v>XLP</v>
      </c>
      <c r="C4" s="3" t="e" vm="4">
        <v>#VALUE!</v>
      </c>
      <c r="D4" s="3" t="str" cm="1">
        <f t="array" aca="1" ref="D4" ca="1">_FV(C4,"Exchange abbreviation",TRUE)</f>
        <v>ARCX</v>
      </c>
      <c r="E4" s="3" t="str" cm="1">
        <f t="array" aca="1" ref="E4" ca="1">_FV(C4,"Instrument type",TRUE)</f>
        <v>ETF</v>
      </c>
      <c r="F4" s="25" cm="1">
        <f t="array" aca="1" ref="F4" ca="1">_FV(C4,"Last trade time",TRUE)</f>
        <v>46097.864854015628</v>
      </c>
      <c r="G4" s="28" cm="1">
        <f t="array" aca="1" ref="G4" ca="1">_FV(C4,"Volume")</f>
        <v>12876079</v>
      </c>
      <c r="H4" s="23" cm="1">
        <f t="array" aca="1" ref="H4" ca="1">_FV(C4,"Open")</f>
        <v>85.21</v>
      </c>
      <c r="I4" s="26" cm="1">
        <f t="array" aca="1" ref="I4" ca="1">_FV(C4,"Beta")</f>
        <v>0.97219999999999995</v>
      </c>
      <c r="J4" s="23" cm="1">
        <f t="array" aca="1" ref="J4" ca="1">_FV(C4,"Price")</f>
        <v>84.96</v>
      </c>
      <c r="K4" s="23" cm="1">
        <f t="array" aca="1" ref="K4" ca="1">_FV(C4,"Change")</f>
        <v>0.22</v>
      </c>
      <c r="L4" s="27" cm="1">
        <f t="array" aca="1" ref="L4" ca="1">_FV(C4,"Change (%)",TRUE)</f>
        <v>2.5959999999999998E-3</v>
      </c>
      <c r="M4" s="23" cm="1">
        <f t="array" aca="1" ref="M4" ca="1">_FV(C4,"High")</f>
        <v>85.46</v>
      </c>
      <c r="N4" s="23" cm="1">
        <f t="array" aca="1" ref="N4" ca="1">_FV(C4,"Low")</f>
        <v>84.814999999999998</v>
      </c>
      <c r="O4" s="23" cm="1">
        <f t="array" aca="1" ref="O4" ca="1">_FV(C4,"52 week high",TRUE)</f>
        <v>90.14</v>
      </c>
      <c r="P4" s="23" cm="1">
        <f t="array" aca="1" ref="P4" ca="1">_FV(C4,"52 week low",TRUE)</f>
        <v>75.16</v>
      </c>
      <c r="Q4" s="23" cm="1">
        <f t="array" aca="1" ref="Q4" ca="1">_FV(C4,"Previous close",TRUE)</f>
        <v>84.74</v>
      </c>
      <c r="R4" s="44" cm="1">
        <f t="array" aca="1" ref="R4" ca="1">_FV(C4,"Market cap",TRUE)</f>
        <v>17557141595.32</v>
      </c>
    </row>
    <row r="5" spans="1:18" ht="22.15">
      <c r="A5" s="11"/>
      <c r="B5" s="3" t="str" cm="1">
        <f t="array" aca="1" ref="B5" ca="1">_FV(C5,"Ticker symbol",TRUE)</f>
        <v>JNJ</v>
      </c>
      <c r="C5" s="3" t="e" vm="5">
        <v>#VALUE!</v>
      </c>
      <c r="D5" s="3" t="str" cm="1">
        <f t="array" aca="1" ref="D5" ca="1">_FV(C5,"Exchange abbreviation",TRUE)</f>
        <v>XNYS</v>
      </c>
      <c r="E5" s="3" t="str" cm="1">
        <f t="array" aca="1" ref="E5" ca="1">_FV(C5,"Instrument type",TRUE)</f>
        <v>Stock</v>
      </c>
      <c r="F5" s="25" cm="1">
        <f t="array" aca="1" ref="F5" ca="1">_FV(C5,"Last trade time",TRUE)</f>
        <v>46097.864811851563</v>
      </c>
      <c r="G5" s="28" cm="1">
        <f t="array" aca="1" ref="G5" ca="1">_FV(C5,"Volume")</f>
        <v>7569278</v>
      </c>
      <c r="H5" s="23" cm="1">
        <f t="array" aca="1" ref="H5" ca="1">_FV(C5,"Open")</f>
        <v>243.92</v>
      </c>
      <c r="I5" s="26" cm="1">
        <f t="array" aca="1" ref="I5" ca="1">_FV(C5,"Beta")</f>
        <v>0.33500000000000002</v>
      </c>
      <c r="J5" s="23" cm="1">
        <f t="array" aca="1" ref="J5" ca="1">_FV(C5,"Price")</f>
        <v>243.19</v>
      </c>
      <c r="K5" s="23" cm="1">
        <f t="array" aca="1" ref="K5" ca="1">_FV(C5,"Change")</f>
        <v>1.67</v>
      </c>
      <c r="L5" s="27" cm="1">
        <f t="array" aca="1" ref="L5" ca="1">_FV(C5,"Change (%)",TRUE)</f>
        <v>6.9150000000000001E-3</v>
      </c>
      <c r="M5" s="23" cm="1">
        <f t="array" aca="1" ref="M5" ca="1">_FV(C5,"High")</f>
        <v>245.05500000000001</v>
      </c>
      <c r="N5" s="23" cm="1">
        <f t="array" aca="1" ref="N5" ca="1">_FV(C5,"Low")</f>
        <v>241.67</v>
      </c>
      <c r="O5" s="23" cm="1">
        <f t="array" aca="1" ref="O5" ca="1">_FV(C5,"52 week high",TRUE)</f>
        <v>251.71</v>
      </c>
      <c r="P5" s="23" cm="1">
        <f t="array" aca="1" ref="P5" ca="1">_FV(C5,"52 week low",TRUE)</f>
        <v>141.5</v>
      </c>
      <c r="Q5" s="23" cm="1">
        <f t="array" aca="1" ref="Q5" ca="1">_FV(C5,"Previous close",TRUE)</f>
        <v>241.52</v>
      </c>
      <c r="R5" s="44" cm="1">
        <f t="array" aca="1" ref="R5" ca="1">_FV(C5,"Market cap",TRUE)</f>
        <v>585750595470</v>
      </c>
    </row>
    <row r="6" spans="1:18" ht="22.15">
      <c r="A6" s="11"/>
      <c r="B6" s="3" t="str" cm="1">
        <f t="array" aca="1" ref="B6" ca="1">_FV(C6,"Ticker symbol",TRUE)</f>
        <v>PG</v>
      </c>
      <c r="C6" s="3" t="e" vm="6">
        <v>#VALUE!</v>
      </c>
      <c r="D6" s="3" t="str" cm="1">
        <f t="array" aca="1" ref="D6" ca="1">_FV(C6,"Exchange abbreviation",TRUE)</f>
        <v>XNYS</v>
      </c>
      <c r="E6" s="3" t="str" cm="1">
        <f t="array" aca="1" ref="E6" ca="1">_FV(C6,"Instrument type",TRUE)</f>
        <v>Stock</v>
      </c>
      <c r="F6" s="25" cm="1">
        <f t="array" aca="1" ref="F6" ca="1">_FV(C6,"Last trade time",TRUE)</f>
        <v>46097.862279560155</v>
      </c>
      <c r="G6" s="28" cm="1">
        <f t="array" aca="1" ref="G6" ca="1">_FV(C6,"Volume")</f>
        <v>6830474</v>
      </c>
      <c r="H6" s="23" cm="1">
        <f t="array" aca="1" ref="H6" ca="1">_FV(C6,"Open")</f>
        <v>151.86000000000001</v>
      </c>
      <c r="I6" s="26" cm="1">
        <f t="array" aca="1" ref="I6" ca="1">_FV(C6,"Beta")</f>
        <v>0.37540000000000001</v>
      </c>
      <c r="J6" s="23" cm="1">
        <f t="array" aca="1" ref="J6" ca="1">_FV(C6,"Price")</f>
        <v>152.11000000000001</v>
      </c>
      <c r="K6" s="23" cm="1">
        <f t="array" aca="1" ref="K6" ca="1">_FV(C6,"Change")</f>
        <v>1.46</v>
      </c>
      <c r="L6" s="27" cm="1">
        <f t="array" aca="1" ref="L6" ca="1">_FV(C6,"Change (%)",TRUE)</f>
        <v>9.691E-3</v>
      </c>
      <c r="M6" s="23" cm="1">
        <f t="array" aca="1" ref="M6" ca="1">_FV(C6,"High")</f>
        <v>152.6386</v>
      </c>
      <c r="N6" s="23" cm="1">
        <f t="array" aca="1" ref="N6" ca="1">_FV(C6,"Low")</f>
        <v>150.65</v>
      </c>
      <c r="O6" s="23" cm="1">
        <f t="array" aca="1" ref="O6" ca="1">_FV(C6,"52 week high",TRUE)</f>
        <v>174.8</v>
      </c>
      <c r="P6" s="23" cm="1">
        <f t="array" aca="1" ref="P6" ca="1">_FV(C6,"52 week low",TRUE)</f>
        <v>137.62</v>
      </c>
      <c r="Q6" s="23" cm="1">
        <f t="array" aca="1" ref="Q6" ca="1">_FV(C6,"Previous close",TRUE)</f>
        <v>150.65</v>
      </c>
      <c r="R6" s="44" cm="1">
        <f t="array" aca="1" ref="R6" ca="1">_FV(C6,"Market cap",TRUE)</f>
        <v>353503792110</v>
      </c>
    </row>
    <row r="7" spans="1:18" ht="22.15">
      <c r="A7" s="11"/>
      <c r="B7" s="3" t="str" cm="1">
        <f t="array" aca="1" ref="B7" ca="1">_FV(C7,"Ticker symbol",TRUE)</f>
        <v>WMT</v>
      </c>
      <c r="C7" s="3" t="e" vm="7">
        <v>#VALUE!</v>
      </c>
      <c r="D7" s="3" t="str" cm="1">
        <f t="array" aca="1" ref="D7" ca="1">_FV(C7,"Exchange abbreviation",TRUE)</f>
        <v>XNAS</v>
      </c>
      <c r="E7" s="3" t="str" cm="1">
        <f t="array" aca="1" ref="E7" ca="1">_FV(C7,"Instrument type",TRUE)</f>
        <v>Stock</v>
      </c>
      <c r="F7" s="25" cm="1">
        <f t="array" aca="1" ref="F7" ca="1">_FV(C7,"Last trade time",TRUE)</f>
        <v>46097.864119189064</v>
      </c>
      <c r="G7" s="28" cm="1">
        <f t="array" aca="1" ref="G7" ca="1">_FV(C7,"Volume")</f>
        <v>20336457</v>
      </c>
      <c r="H7" s="23" cm="1">
        <f t="array" aca="1" ref="H7" ca="1">_FV(C7,"Open")</f>
        <v>126.76</v>
      </c>
      <c r="I7" s="26" cm="1">
        <f t="array" aca="1" ref="I7" ca="1">_FV(C7,"Beta")</f>
        <v>0.65749999999999997</v>
      </c>
      <c r="J7" s="23" cm="1">
        <f t="array" aca="1" ref="J7" ca="1">_FV(C7,"Price")</f>
        <v>125.99</v>
      </c>
      <c r="K7" s="23" cm="1">
        <f t="array" aca="1" ref="K7" ca="1">_FV(C7,"Change")</f>
        <v>-0.53</v>
      </c>
      <c r="L7" s="27" cm="1">
        <f t="array" aca="1" ref="L7" ca="1">_FV(C7,"Change (%)",TRUE)</f>
        <v>-4.189E-3</v>
      </c>
      <c r="M7" s="23" cm="1">
        <f t="array" aca="1" ref="M7" ca="1">_FV(C7,"High")</f>
        <v>126.98</v>
      </c>
      <c r="N7" s="23" cm="1">
        <f t="array" aca="1" ref="N7" ca="1">_FV(C7,"Low")</f>
        <v>124.83</v>
      </c>
      <c r="O7" s="23" cm="1">
        <f t="array" aca="1" ref="O7" ca="1">_FV(C7,"52 week high",TRUE)</f>
        <v>134.69</v>
      </c>
      <c r="P7" s="23" cm="1">
        <f t="array" aca="1" ref="P7" ca="1">_FV(C7,"52 week low",TRUE)</f>
        <v>79.81</v>
      </c>
      <c r="Q7" s="23" cm="1">
        <f t="array" aca="1" ref="Q7" ca="1">_FV(C7,"Previous close",TRUE)</f>
        <v>126.52</v>
      </c>
      <c r="R7" s="44" cm="1">
        <f t="array" aca="1" ref="R7" ca="1">_FV(C7,"Market cap",TRUE)</f>
        <v>1004161340330</v>
      </c>
    </row>
    <row r="8" spans="1:18" ht="22.15">
      <c r="A8" s="11"/>
      <c r="B8" s="3" t="str" cm="1">
        <f t="array" aca="1" ref="B8" ca="1">_FV(C8,"Ticker symbol",TRUE)</f>
        <v>XLU</v>
      </c>
      <c r="C8" s="3" t="e" vm="8">
        <v>#VALUE!</v>
      </c>
      <c r="D8" s="3" t="str" cm="1">
        <f t="array" aca="1" ref="D8" ca="1">_FV(C8,"Exchange abbreviation",TRUE)</f>
        <v>ARCX</v>
      </c>
      <c r="E8" s="3" t="str" cm="1">
        <f t="array" aca="1" ref="E8" ca="1">_FV(C8,"Instrument type",TRUE)</f>
        <v>ETF</v>
      </c>
      <c r="F8" s="25" cm="1">
        <f t="array" aca="1" ref="F8" ca="1">_FV(C8,"Last trade time",TRUE)</f>
        <v>46097.862756678122</v>
      </c>
      <c r="G8" s="28" cm="1">
        <f t="array" aca="1" ref="G8" ca="1">_FV(C8,"Volume")</f>
        <v>19623669</v>
      </c>
      <c r="H8" s="23" cm="1">
        <f t="array" aca="1" ref="H8" ca="1">_FV(C8,"Open")</f>
        <v>47.45</v>
      </c>
      <c r="I8" s="26" cm="1">
        <f t="array" aca="1" ref="I8" ca="1">_FV(C8,"Beta")</f>
        <v>0.99750000000000005</v>
      </c>
      <c r="J8" s="23" cm="1">
        <f t="array" aca="1" ref="J8" ca="1">_FV(C8,"Price")</f>
        <v>47.25</v>
      </c>
      <c r="K8" s="23" cm="1">
        <f t="array" aca="1" ref="K8" ca="1">_FV(C8,"Change")</f>
        <v>0.28999999999999998</v>
      </c>
      <c r="L8" s="27" cm="1">
        <f t="array" aca="1" ref="L8" ca="1">_FV(C8,"Change (%)",TRUE)</f>
        <v>6.1750000000000008E-3</v>
      </c>
      <c r="M8" s="23" cm="1">
        <f t="array" aca="1" ref="M8" ca="1">_FV(C8,"High")</f>
        <v>47.5</v>
      </c>
      <c r="N8" s="23" cm="1">
        <f t="array" aca="1" ref="N8" ca="1">_FV(C8,"Low")</f>
        <v>46.95</v>
      </c>
      <c r="O8" s="23" cm="1">
        <f t="array" aca="1" ref="O8" ca="1">_FV(C8,"52 week high",TRUE)</f>
        <v>47.8</v>
      </c>
      <c r="P8" s="23" cm="1">
        <f t="array" aca="1" ref="P8" ca="1">_FV(C8,"52 week low",TRUE)</f>
        <v>35.51</v>
      </c>
      <c r="Q8" s="23" cm="1">
        <f t="array" aca="1" ref="Q8" ca="1">_FV(C8,"Previous close",TRUE)</f>
        <v>46.96</v>
      </c>
      <c r="R8" s="44" cm="1">
        <f t="array" aca="1" ref="R8" ca="1">_FV(C8,"Market cap",TRUE)</f>
        <v>24356755083.259998</v>
      </c>
    </row>
    <row r="9" spans="1:18" ht="22.15">
      <c r="A9" s="11"/>
      <c r="B9" s="3" t="str" cm="1">
        <f t="array" aca="1" ref="B9" ca="1">_FV(C9,"Ticker symbol",TRUE)</f>
        <v>TSM</v>
      </c>
      <c r="C9" s="3" t="e" vm="9">
        <v>#VALUE!</v>
      </c>
      <c r="D9" s="3" t="str" cm="1">
        <f t="array" aca="1" ref="D9" ca="1">_FV(C9,"Exchange abbreviation",TRUE)</f>
        <v>XNYS</v>
      </c>
      <c r="E9" s="3" t="str" cm="1">
        <f t="array" aca="1" ref="E9" ca="1">_FV(C9,"Instrument type",TRUE)</f>
        <v>Stock</v>
      </c>
      <c r="F9" s="25" cm="1">
        <f t="array" aca="1" ref="F9" ca="1">_FV(C9,"Last trade time",TRUE)</f>
        <v>46097.864785346872</v>
      </c>
      <c r="G9" s="28" cm="1">
        <f t="array" aca="1" ref="G9" ca="1">_FV(C9,"Volume")</f>
        <v>11054340</v>
      </c>
      <c r="H9" s="23" cm="1">
        <f t="array" aca="1" ref="H9" ca="1">_FV(C9,"Open")</f>
        <v>341.25</v>
      </c>
      <c r="I9" s="26" cm="1">
        <f t="array" aca="1" ref="I9" ca="1">_FV(C9,"Beta")</f>
        <v>1.355</v>
      </c>
      <c r="J9" s="23" cm="1">
        <f t="array" aca="1" ref="J9" ca="1">_FV(C9,"Price")</f>
        <v>340.16</v>
      </c>
      <c r="K9" s="23" cm="1">
        <f t="array" aca="1" ref="K9" ca="1">_FV(C9,"Change")</f>
        <v>1.85</v>
      </c>
      <c r="L9" s="27" cm="1">
        <f t="array" aca="1" ref="L9" ca="1">_FV(C9,"Change (%)",TRUE)</f>
        <v>5.4679999999999998E-3</v>
      </c>
      <c r="M9" s="23" cm="1">
        <f t="array" aca="1" ref="M9" ca="1">_FV(C9,"High")</f>
        <v>344.63</v>
      </c>
      <c r="N9" s="23" cm="1">
        <f t="array" aca="1" ref="N9" ca="1">_FV(C9,"Low")</f>
        <v>339.82</v>
      </c>
      <c r="O9" s="23" cm="1">
        <f t="array" aca="1" ref="O9" ca="1">_FV(C9,"52 week high",TRUE)</f>
        <v>390.20499999999998</v>
      </c>
      <c r="P9" s="23" cm="1">
        <f t="array" aca="1" ref="P9" ca="1">_FV(C9,"52 week low",TRUE)</f>
        <v>134.25</v>
      </c>
      <c r="Q9" s="23" cm="1">
        <f t="array" aca="1" ref="Q9" ca="1">_FV(C9,"Previous close",TRUE)</f>
        <v>338.31</v>
      </c>
      <c r="R9" s="44" cm="1">
        <f t="array" aca="1" ref="R9" ca="1">_FV(C9,"Market cap",TRUE)</f>
        <v>1764241540800</v>
      </c>
    </row>
    <row r="10" spans="1:18" ht="22.15">
      <c r="A10" s="11"/>
      <c r="B10" s="3" t="str" cm="1">
        <f t="array" aca="1" ref="B10" ca="1">_FV(C10,"Ticker symbol",TRUE)</f>
        <v>MU</v>
      </c>
      <c r="C10" s="3" t="e" vm="10">
        <v>#VALUE!</v>
      </c>
      <c r="D10" s="3" t="str" cm="1">
        <f t="array" aca="1" ref="D10" ca="1">_FV(C10,"Exchange abbreviation",TRUE)</f>
        <v>XNAS</v>
      </c>
      <c r="E10" s="3" t="str" cm="1">
        <f t="array" aca="1" ref="E10" ca="1">_FV(C10,"Instrument type",TRUE)</f>
        <v>Stock</v>
      </c>
      <c r="F10" s="25" cm="1">
        <f t="array" aca="1" ref="F10" ca="1">_FV(C10,"Last trade time",TRUE)</f>
        <v>46097.864988471876</v>
      </c>
      <c r="G10" s="28" cm="1">
        <f t="array" aca="1" ref="G10" ca="1">_FV(C10,"Volume")</f>
        <v>42254320</v>
      </c>
      <c r="H10" s="23" cm="1">
        <f t="array" aca="1" ref="H10" ca="1">_FV(C10,"Open")</f>
        <v>446.16</v>
      </c>
      <c r="I10" s="26" cm="1">
        <f t="array" aca="1" ref="I10" ca="1">_FV(C10,"Beta")</f>
        <v>1.5144</v>
      </c>
      <c r="J10" s="23" cm="1">
        <f t="array" aca="1" ref="J10" ca="1">_FV(C10,"Price")</f>
        <v>441.8</v>
      </c>
      <c r="K10" s="23" cm="1">
        <f t="array" aca="1" ref="K10" ca="1">_FV(C10,"Change")</f>
        <v>15.67</v>
      </c>
      <c r="L10" s="27" cm="1">
        <f t="array" aca="1" ref="L10" ca="1">_FV(C10,"Change (%)",TRUE)</f>
        <v>3.6773E-2</v>
      </c>
      <c r="M10" s="23" cm="1">
        <f t="array" aca="1" ref="M10" ca="1">_FV(C10,"High")</f>
        <v>454.86</v>
      </c>
      <c r="N10" s="23" cm="1">
        <f t="array" aca="1" ref="N10" ca="1">_FV(C10,"Low")</f>
        <v>437.745</v>
      </c>
      <c r="O10" s="23" cm="1">
        <f t="array" aca="1" ref="O10" ca="1">_FV(C10,"52 week high",TRUE)</f>
        <v>455.5</v>
      </c>
      <c r="P10" s="23" cm="1">
        <f t="array" aca="1" ref="P10" ca="1">_FV(C10,"52 week low",TRUE)</f>
        <v>61.54</v>
      </c>
      <c r="Q10" s="23" cm="1">
        <f t="array" aca="1" ref="Q10" ca="1">_FV(C10,"Previous close",TRUE)</f>
        <v>426.13</v>
      </c>
      <c r="R10" s="44" cm="1">
        <f t="array" aca="1" ref="R10" ca="1">_FV(C10,"Market cap",TRUE)</f>
        <v>497249876200</v>
      </c>
    </row>
    <row r="11" spans="1:18" ht="22.15">
      <c r="A11" s="11"/>
      <c r="B11" s="3" t="str" cm="1">
        <f t="array" aca="1" ref="B11" ca="1">_FV(C11,"Ticker symbol",TRUE)</f>
        <v>PLTR</v>
      </c>
      <c r="C11" s="3" t="e" vm="11">
        <v>#VALUE!</v>
      </c>
      <c r="D11" s="3" t="str" cm="1">
        <f t="array" aca="1" ref="D11" ca="1">_FV(C11,"Exchange abbreviation",TRUE)</f>
        <v>XNAS</v>
      </c>
      <c r="E11" s="3" t="str" cm="1">
        <f t="array" aca="1" ref="E11" ca="1">_FV(C11,"Instrument type",TRUE)</f>
        <v>Stock</v>
      </c>
      <c r="F11" s="25" cm="1">
        <f t="array" aca="1" ref="F11" ca="1">_FV(C11,"Last trade time",TRUE)</f>
        <v>46097.864894270315</v>
      </c>
      <c r="G11" s="28" cm="1">
        <f t="array" aca="1" ref="G11" ca="1">_FV(C11,"Volume")</f>
        <v>32753447</v>
      </c>
      <c r="H11" s="23" cm="1">
        <f t="array" aca="1" ref="H11" ca="1">_FV(C11,"Open")</f>
        <v>152.44999999999999</v>
      </c>
      <c r="I11" s="26" cm="1">
        <f t="array" aca="1" ref="I11" ca="1">_FV(C11,"Beta")</f>
        <v>1.6860999999999999</v>
      </c>
      <c r="J11" s="23" cm="1">
        <f t="array" aca="1" ref="J11" ca="1">_FV(C11,"Price")</f>
        <v>152.72</v>
      </c>
      <c r="K11" s="23" cm="1">
        <f t="array" aca="1" ref="K11" ca="1">_FV(C11,"Change")</f>
        <v>1.77</v>
      </c>
      <c r="L11" s="27" cm="1">
        <f t="array" aca="1" ref="L11" ca="1">_FV(C11,"Change (%)",TRUE)</f>
        <v>1.1726E-2</v>
      </c>
      <c r="M11" s="23" cm="1">
        <f t="array" aca="1" ref="M11" ca="1">_FV(C11,"High")</f>
        <v>153.86000000000001</v>
      </c>
      <c r="N11" s="23" cm="1">
        <f t="array" aca="1" ref="N11" ca="1">_FV(C11,"Low")</f>
        <v>151.16999999999999</v>
      </c>
      <c r="O11" s="23" cm="1">
        <f t="array" aca="1" ref="O11" ca="1">_FV(C11,"52 week high",TRUE)</f>
        <v>207.52</v>
      </c>
      <c r="P11" s="23" cm="1">
        <f t="array" aca="1" ref="P11" ca="1">_FV(C11,"52 week low",TRUE)</f>
        <v>66.12</v>
      </c>
      <c r="Q11" s="23" cm="1">
        <f t="array" aca="1" ref="Q11" ca="1">_FV(C11,"Previous close",TRUE)</f>
        <v>150.94999999999999</v>
      </c>
      <c r="R11" s="44" cm="1">
        <f t="array" aca="1" ref="R11" ca="1">_FV(C11,"Market cap",TRUE)</f>
        <v>365103275120</v>
      </c>
    </row>
    <row r="12" spans="1:18" ht="22.15">
      <c r="A12" s="11"/>
      <c r="B12" s="3" t="str" cm="1">
        <f t="array" aca="1" ref="B12" ca="1">_FV(C12,"Ticker symbol",TRUE)</f>
        <v>JPM</v>
      </c>
      <c r="C12" s="3" t="e" vm="12">
        <v>#VALUE!</v>
      </c>
      <c r="D12" s="3" t="str" cm="1">
        <f t="array" aca="1" ref="D12" ca="1">_FV(C12,"Exchange abbreviation",TRUE)</f>
        <v>XNYS</v>
      </c>
      <c r="E12" s="3" t="str" cm="1">
        <f t="array" aca="1" ref="E12" ca="1">_FV(C12,"Instrument type",TRUE)</f>
        <v>Stock</v>
      </c>
      <c r="F12" s="25" cm="1">
        <f t="array" aca="1" ref="F12" ca="1">_FV(C12,"Last trade time",TRUE)</f>
        <v>46097.865001272658</v>
      </c>
      <c r="G12" s="28" cm="1">
        <f t="array" aca="1" ref="G12" ca="1">_FV(C12,"Volume")</f>
        <v>8129356</v>
      </c>
      <c r="H12" s="23" cm="1">
        <f t="array" aca="1" ref="H12" ca="1">_FV(C12,"Open")</f>
        <v>286.33999999999997</v>
      </c>
      <c r="I12" s="26" cm="1">
        <f t="array" aca="1" ref="I12" ca="1">_FV(C12,"Beta")</f>
        <v>1.0673999999999999</v>
      </c>
      <c r="J12" s="23" cm="1">
        <f t="array" aca="1" ref="J12" ca="1">_FV(C12,"Price")</f>
        <v>286.11</v>
      </c>
      <c r="K12" s="23" cm="1">
        <f t="array" aca="1" ref="K12" ca="1">_FV(C12,"Change")</f>
        <v>2.67</v>
      </c>
      <c r="L12" s="27" cm="1">
        <f t="array" aca="1" ref="L12" ca="1">_FV(C12,"Change (%)",TRUE)</f>
        <v>9.4199999999999996E-3</v>
      </c>
      <c r="M12" s="23" cm="1">
        <f t="array" aca="1" ref="M12" ca="1">_FV(C12,"High")</f>
        <v>289.26990000000001</v>
      </c>
      <c r="N12" s="23" cm="1">
        <f t="array" aca="1" ref="N12" ca="1">_FV(C12,"Low")</f>
        <v>284.61</v>
      </c>
      <c r="O12" s="23" cm="1">
        <f t="array" aca="1" ref="O12" ca="1">_FV(C12,"52 week high",TRUE)</f>
        <v>337.25</v>
      </c>
      <c r="P12" s="23" cm="1">
        <f t="array" aca="1" ref="P12" ca="1">_FV(C12,"52 week low",TRUE)</f>
        <v>202.16</v>
      </c>
      <c r="Q12" s="23" cm="1">
        <f t="array" aca="1" ref="Q12" ca="1">_FV(C12,"Previous close",TRUE)</f>
        <v>283.44</v>
      </c>
      <c r="R12" s="44" cm="1">
        <f t="array" aca="1" ref="R12" ca="1">_FV(C12,"Market cap",TRUE)</f>
        <v>771647825520</v>
      </c>
    </row>
    <row r="13" spans="1:18" ht="22.15">
      <c r="A13" s="11"/>
      <c r="B13" s="3" t="str" cm="1">
        <f t="array" aca="1" ref="B13" ca="1">_FV(C13,"Ticker symbol",TRUE)</f>
        <v>AMZN</v>
      </c>
      <c r="C13" s="3" t="e" vm="13">
        <v>#VALUE!</v>
      </c>
      <c r="D13" s="3" t="str" cm="1">
        <f t="array" aca="1" ref="D13" ca="1">_FV(C13,"Exchange abbreviation",TRUE)</f>
        <v>XNAS</v>
      </c>
      <c r="E13" s="3" t="str" cm="1">
        <f t="array" aca="1" ref="E13" ca="1">_FV(C13,"Instrument type",TRUE)</f>
        <v>Stock</v>
      </c>
      <c r="F13" s="25" cm="1">
        <f t="array" aca="1" ref="F13" ca="1">_FV(C13,"Last trade time",TRUE)</f>
        <v>46097.864931168748</v>
      </c>
      <c r="G13" s="28" cm="1">
        <f t="array" aca="1" ref="G13" ca="1">_FV(C13,"Volume")</f>
        <v>42085117</v>
      </c>
      <c r="H13" s="23" cm="1">
        <f t="array" aca="1" ref="H13" ca="1">_FV(C13,"Open")</f>
        <v>208.35</v>
      </c>
      <c r="I13" s="26" cm="1">
        <f t="array" aca="1" ref="I13" ca="1">_FV(C13,"Beta")</f>
        <v>1.4017999999999999</v>
      </c>
      <c r="J13" s="23" cm="1">
        <f t="array" aca="1" ref="J13" ca="1">_FV(C13,"Price")</f>
        <v>211.74</v>
      </c>
      <c r="K13" s="23" cm="1">
        <f t="array" aca="1" ref="K13" ca="1">_FV(C13,"Change")</f>
        <v>4.07</v>
      </c>
      <c r="L13" s="27" cm="1">
        <f t="array" aca="1" ref="L13" ca="1">_FV(C13,"Change (%)",TRUE)</f>
        <v>1.9598000000000001E-2</v>
      </c>
      <c r="M13" s="23" cm="1">
        <f t="array" aca="1" ref="M13" ca="1">_FV(C13,"High")</f>
        <v>212.72399999999999</v>
      </c>
      <c r="N13" s="23" cm="1">
        <f t="array" aca="1" ref="N13" ca="1">_FV(C13,"Low")</f>
        <v>207.44499999999999</v>
      </c>
      <c r="O13" s="23" cm="1">
        <f t="array" aca="1" ref="O13" ca="1">_FV(C13,"52 week high",TRUE)</f>
        <v>258.60000000000002</v>
      </c>
      <c r="P13" s="23" cm="1">
        <f t="array" aca="1" ref="P13" ca="1">_FV(C13,"52 week low",TRUE)</f>
        <v>161.38</v>
      </c>
      <c r="Q13" s="23" cm="1">
        <f t="array" aca="1" ref="Q13" ca="1">_FV(C13,"Previous close",TRUE)</f>
        <v>207.67</v>
      </c>
      <c r="R13" s="44" cm="1">
        <f t="array" aca="1" ref="R13" ca="1">_FV(C13,"Market cap",TRUE)</f>
        <v>2273011960800</v>
      </c>
    </row>
    <row r="14" spans="1:18" ht="22.15">
      <c r="A14" s="11"/>
      <c r="B14" s="3" t="str" cm="1">
        <f t="array" aca="1" ref="B14" ca="1">_FV(C14,"Ticker symbol",TRUE)</f>
        <v>GOOGL</v>
      </c>
      <c r="C14" s="3" t="e" vm="14">
        <v>#VALUE!</v>
      </c>
      <c r="D14" s="3" t="str" cm="1">
        <f t="array" aca="1" ref="D14" ca="1">_FV(C14,"Exchange abbreviation",TRUE)</f>
        <v>XNAS</v>
      </c>
      <c r="E14" s="3" t="str" cm="1">
        <f t="array" aca="1" ref="E14" ca="1">_FV(C14,"Instrument type",TRUE)</f>
        <v>Stock</v>
      </c>
      <c r="F14" s="25" cm="1">
        <f t="array" aca="1" ref="F14" ca="1">_FV(C14,"Last trade time",TRUE)</f>
        <v>46097.864924675778</v>
      </c>
      <c r="G14" s="28" cm="1">
        <f t="array" aca="1" ref="G14" ca="1">_FV(C14,"Volume")</f>
        <v>23470221</v>
      </c>
      <c r="H14" s="23" cm="1">
        <f t="array" aca="1" ref="H14" ca="1">_FV(C14,"Open")</f>
        <v>304.35000000000002</v>
      </c>
      <c r="I14" s="26" cm="1">
        <f t="array" aca="1" ref="I14" ca="1">_FV(C14,"Beta")</f>
        <v>1.1122000000000001</v>
      </c>
      <c r="J14" s="23" cm="1">
        <f t="array" aca="1" ref="J14" ca="1">_FV(C14,"Price")</f>
        <v>305.56</v>
      </c>
      <c r="K14" s="23" cm="1">
        <f t="array" aca="1" ref="K14" ca="1">_FV(C14,"Change")</f>
        <v>3.28</v>
      </c>
      <c r="L14" s="27" cm="1">
        <f t="array" aca="1" ref="L14" ca="1">_FV(C14,"Change (%)",TRUE)</f>
        <v>1.0851E-2</v>
      </c>
      <c r="M14" s="23" cm="1">
        <f t="array" aca="1" ref="M14" ca="1">_FV(C14,"High")</f>
        <v>306.48860000000002</v>
      </c>
      <c r="N14" s="23" cm="1">
        <f t="array" aca="1" ref="N14" ca="1">_FV(C14,"Low")</f>
        <v>303.02010000000001</v>
      </c>
      <c r="O14" s="23" cm="1">
        <f t="array" aca="1" ref="O14" ca="1">_FV(C14,"52 week high",TRUE)</f>
        <v>349</v>
      </c>
      <c r="P14" s="23" cm="1">
        <f t="array" aca="1" ref="P14" ca="1">_FV(C14,"52 week low",TRUE)</f>
        <v>140.53</v>
      </c>
      <c r="Q14" s="23" cm="1">
        <f t="array" aca="1" ref="Q14" ca="1">_FV(C14,"Previous close",TRUE)</f>
        <v>302.27999999999997</v>
      </c>
      <c r="R14" s="44" cm="1">
        <f t="array" aca="1" ref="R14" ca="1">_FV(C14,"Market cap",TRUE)</f>
        <v>3696359320000</v>
      </c>
    </row>
    <row r="15" spans="1:18" ht="22.15">
      <c r="A15" s="11"/>
      <c r="B15" s="3" t="str" cm="1">
        <f t="array" aca="1" ref="B15" ca="1">_FV(C15,"Ticker symbol",TRUE)</f>
        <v>GE</v>
      </c>
      <c r="C15" s="3" t="e" vm="15">
        <v>#VALUE!</v>
      </c>
      <c r="D15" s="3" t="str" cm="1">
        <f t="array" aca="1" ref="D15" ca="1">_FV(C15,"Exchange abbreviation",TRUE)</f>
        <v>XNYS</v>
      </c>
      <c r="E15" s="3" t="str" cm="1">
        <f t="array" aca="1" ref="E15" ca="1">_FV(C15,"Instrument type",TRUE)</f>
        <v>Stock</v>
      </c>
      <c r="F15" s="25" cm="1">
        <f t="array" aca="1" ref="F15" ca="1">_FV(C15,"Last trade time",TRUE)</f>
        <v>46097.864620253909</v>
      </c>
      <c r="G15" s="28" cm="1">
        <f t="array" aca="1" ref="G15" ca="1">_FV(C15,"Volume")</f>
        <v>6246170</v>
      </c>
      <c r="H15" s="23" cm="1">
        <f t="array" aca="1" ref="H15" ca="1">_FV(C15,"Open")</f>
        <v>303.77</v>
      </c>
      <c r="I15" s="26" cm="1">
        <f t="array" aca="1" ref="I15" ca="1">_FV(C15,"Beta")</f>
        <v>1.4224000000000001</v>
      </c>
      <c r="J15" s="23" cm="1">
        <f t="array" aca="1" ref="J15" ca="1">_FV(C15,"Price")</f>
        <v>304.10000000000002</v>
      </c>
      <c r="K15" s="23" cm="1">
        <f t="array" aca="1" ref="K15" ca="1">_FV(C15,"Change")</f>
        <v>4.41</v>
      </c>
      <c r="L15" s="27" cm="1">
        <f t="array" aca="1" ref="L15" ca="1">_FV(C15,"Change (%)",TRUE)</f>
        <v>1.4715000000000001E-2</v>
      </c>
      <c r="M15" s="23" cm="1">
        <f t="array" aca="1" ref="M15" ca="1">_FV(C15,"High")</f>
        <v>305.7</v>
      </c>
      <c r="N15" s="23" cm="1">
        <f t="array" aca="1" ref="N15" ca="1">_FV(C15,"Low")</f>
        <v>300.14999999999998</v>
      </c>
      <c r="O15" s="23" cm="1">
        <f t="array" aca="1" ref="O15" ca="1">_FV(C15,"52 week high",TRUE)</f>
        <v>348.48</v>
      </c>
      <c r="P15" s="23" cm="1">
        <f t="array" aca="1" ref="P15" ca="1">_FV(C15,"52 week low",TRUE)</f>
        <v>159.36000000000001</v>
      </c>
      <c r="Q15" s="23" cm="1">
        <f t="array" aca="1" ref="Q15" ca="1">_FV(C15,"Previous close",TRUE)</f>
        <v>299.69</v>
      </c>
      <c r="R15" s="44" cm="1">
        <f t="array" aca="1" ref="R15" ca="1">_FV(C15,"Market cap",TRUE)</f>
        <v>317732803000</v>
      </c>
    </row>
    <row r="16" spans="1:18" ht="22.15">
      <c r="A16" s="11"/>
      <c r="B16" s="3" t="str" cm="1">
        <f t="array" aca="1" ref="B16" ca="1">_FV(C16,"Ticker symbol",TRUE)</f>
        <v>IONQ</v>
      </c>
      <c r="C16" s="3" t="e" vm="16">
        <v>#VALUE!</v>
      </c>
      <c r="D16" s="3" t="str" cm="1">
        <f t="array" aca="1" ref="D16" ca="1">_FV(C16,"Exchange abbreviation",TRUE)</f>
        <v>XNYS</v>
      </c>
      <c r="E16" s="3" t="str" cm="1">
        <f t="array" aca="1" ref="E16" ca="1">_FV(C16,"Instrument type",TRUE)</f>
        <v>Stock</v>
      </c>
      <c r="F16" s="25" cm="1">
        <f t="array" aca="1" ref="F16" ca="1">_FV(C16,"Last trade time",TRUE)</f>
        <v>46097.864985671091</v>
      </c>
      <c r="G16" s="28" cm="1">
        <f t="array" aca="1" ref="G16" ca="1">_FV(C16,"Volume")</f>
        <v>19233079</v>
      </c>
      <c r="H16" s="23" cm="1">
        <f t="array" aca="1" ref="H16" ca="1">_FV(C16,"Open")</f>
        <v>33.520000000000003</v>
      </c>
      <c r="I16" s="26" cm="1">
        <f t="array" aca="1" ref="I16" ca="1">_FV(C16,"Beta")</f>
        <v>2.7578999999999998</v>
      </c>
      <c r="J16" s="23" cm="1">
        <f t="array" aca="1" ref="J16" ca="1">_FV(C16,"Price")</f>
        <v>33.29</v>
      </c>
      <c r="K16" s="23" cm="1">
        <f t="array" aca="1" ref="K16" ca="1">_FV(C16,"Change")</f>
        <v>0.31</v>
      </c>
      <c r="L16" s="27" cm="1">
        <f t="array" aca="1" ref="L16" ca="1">_FV(C16,"Change (%)",TRUE)</f>
        <v>9.3999999999999986E-3</v>
      </c>
      <c r="M16" s="23" cm="1">
        <f t="array" aca="1" ref="M16" ca="1">_FV(C16,"High")</f>
        <v>34.409999999999997</v>
      </c>
      <c r="N16" s="23" cm="1">
        <f t="array" aca="1" ref="N16" ca="1">_FV(C16,"Low")</f>
        <v>32.39</v>
      </c>
      <c r="O16" s="23" cm="1">
        <f t="array" aca="1" ref="O16" ca="1">_FV(C16,"52 week high",TRUE)</f>
        <v>84.64</v>
      </c>
      <c r="P16" s="23" cm="1">
        <f t="array" aca="1" ref="P16" ca="1">_FV(C16,"52 week low",TRUE)</f>
        <v>18.809999999999999</v>
      </c>
      <c r="Q16" s="23" cm="1">
        <f t="array" aca="1" ref="Q16" ca="1">_FV(C16,"Previous close",TRUE)</f>
        <v>32.979999999999997</v>
      </c>
      <c r="R16" s="44" cm="1">
        <f t="array" aca="1" ref="R16" ca="1">_FV(C16,"Market cap",TRUE)</f>
        <v>12205468903</v>
      </c>
    </row>
    <row r="17" spans="1:18" ht="22.15">
      <c r="A17" s="11"/>
      <c r="B17" s="3" t="str" cm="1">
        <f t="array" aca="1" ref="B17" ca="1">_FV(C17,"Ticker symbol",TRUE)</f>
        <v>XLE</v>
      </c>
      <c r="C17" s="3" t="e" vm="17">
        <v>#VALUE!</v>
      </c>
      <c r="D17" s="3" t="str" cm="1">
        <f t="array" aca="1" ref="D17" ca="1">_FV(C17,"Exchange abbreviation",TRUE)</f>
        <v>ARCX</v>
      </c>
      <c r="E17" s="3" t="str" cm="1">
        <f t="array" aca="1" ref="E17" ca="1">_FV(C17,"Instrument type",TRUE)</f>
        <v>ETF</v>
      </c>
      <c r="F17" s="25" cm="1">
        <f t="array" aca="1" ref="F17" ca="1">_FV(C17,"Last trade time",TRUE)</f>
        <v>46097.86345053203</v>
      </c>
      <c r="G17" s="28" cm="1">
        <f t="array" aca="1" ref="G17" ca="1">_FV(C17,"Volume")</f>
        <v>39385530</v>
      </c>
      <c r="H17" s="23" cm="1">
        <f t="array" aca="1" ref="H17" ca="1">_FV(C17,"Open")</f>
        <v>57.76</v>
      </c>
      <c r="I17" s="26" cm="1">
        <f t="array" aca="1" ref="I17" ca="1">_FV(C17,"Beta")</f>
        <v>1.1236999999999999</v>
      </c>
      <c r="J17" s="23" cm="1">
        <f t="array" aca="1" ref="J17" ca="1">_FV(C17,"Price")</f>
        <v>57.9</v>
      </c>
      <c r="K17" s="23" cm="1">
        <f t="array" aca="1" ref="K17" ca="1">_FV(C17,"Change")</f>
        <v>0.2</v>
      </c>
      <c r="L17" s="27" cm="1">
        <f t="array" aca="1" ref="L17" ca="1">_FV(C17,"Change (%)",TRUE)</f>
        <v>3.4660000000000003E-3</v>
      </c>
      <c r="M17" s="23" cm="1">
        <f t="array" aca="1" ref="M17" ca="1">_FV(C17,"High")</f>
        <v>58.1</v>
      </c>
      <c r="N17" s="23" cm="1">
        <f t="array" aca="1" ref="N17" ca="1">_FV(C17,"Low")</f>
        <v>57.27</v>
      </c>
      <c r="O17" s="23" cm="1">
        <f t="array" aca="1" ref="O17" ca="1">_FV(C17,"52 week high",TRUE)</f>
        <v>58.215000000000003</v>
      </c>
      <c r="P17" s="23" cm="1">
        <f t="array" aca="1" ref="P17" ca="1">_FV(C17,"52 week low",TRUE)</f>
        <v>37.244999999999997</v>
      </c>
      <c r="Q17" s="23" cm="1">
        <f t="array" aca="1" ref="Q17" ca="1">_FV(C17,"Previous close",TRUE)</f>
        <v>57.7</v>
      </c>
      <c r="R17" s="44" cm="1">
        <f t="array" aca="1" ref="R17" ca="1">_FV(C17,"Market cap",TRUE)</f>
        <v>37876244903.099998</v>
      </c>
    </row>
    <row r="18" spans="1:18" ht="22.15">
      <c r="A18" s="11"/>
      <c r="B18" s="3" t="str" cm="1">
        <f t="array" aca="1" ref="B18" ca="1">_FV(C18,"Ticker symbol",TRUE)</f>
        <v>XOM</v>
      </c>
      <c r="C18" s="3" t="e" vm="18">
        <v>#VALUE!</v>
      </c>
      <c r="D18" s="3" t="str" cm="1">
        <f t="array" aca="1" ref="D18" ca="1">_FV(C18,"Exchange abbreviation",TRUE)</f>
        <v>XNYS</v>
      </c>
      <c r="E18" s="3" t="str" cm="1">
        <f t="array" aca="1" ref="E18" ca="1">_FV(C18,"Instrument type",TRUE)</f>
        <v>Stock</v>
      </c>
      <c r="F18" s="25" cm="1">
        <f t="array" aca="1" ref="F18" ca="1">_FV(C18,"Last trade time",TRUE)</f>
        <v>46097.864851724218</v>
      </c>
      <c r="G18" s="28" cm="1">
        <f t="array" aca="1" ref="G18" ca="1">_FV(C18,"Volume")</f>
        <v>22229753</v>
      </c>
      <c r="H18" s="23" cm="1">
        <f t="array" aca="1" ref="H18" ca="1">_FV(C18,"Open")</f>
        <v>156</v>
      </c>
      <c r="I18" s="26" cm="1">
        <f t="array" aca="1" ref="I18" ca="1">_FV(C18,"Beta")</f>
        <v>0.34039999999999998</v>
      </c>
      <c r="J18" s="23" cm="1">
        <f t="array" aca="1" ref="J18" ca="1">_FV(C18,"Price")</f>
        <v>157.22</v>
      </c>
      <c r="K18" s="23" cm="1">
        <f t="array" aca="1" ref="K18" ca="1">_FV(C18,"Change")</f>
        <v>1.1000000000000001</v>
      </c>
      <c r="L18" s="27" cm="1">
        <f t="array" aca="1" ref="L18" ca="1">_FV(C18,"Change (%)",TRUE)</f>
        <v>7.0460000000000002E-3</v>
      </c>
      <c r="M18" s="23" cm="1">
        <f t="array" aca="1" ref="M18" ca="1">_FV(C18,"High")</f>
        <v>157.78</v>
      </c>
      <c r="N18" s="23" cm="1">
        <f t="array" aca="1" ref="N18" ca="1">_FV(C18,"Low")</f>
        <v>154.76</v>
      </c>
      <c r="O18" s="23" cm="1">
        <f t="array" aca="1" ref="O18" ca="1">_FV(C18,"52 week high",TRUE)</f>
        <v>159.60499999999999</v>
      </c>
      <c r="P18" s="23" cm="1">
        <f t="array" aca="1" ref="P18" ca="1">_FV(C18,"52 week low",TRUE)</f>
        <v>97.8</v>
      </c>
      <c r="Q18" s="23" cm="1">
        <f t="array" aca="1" ref="Q18" ca="1">_FV(C18,"Previous close",TRUE)</f>
        <v>156.12</v>
      </c>
      <c r="R18" s="44" cm="1">
        <f t="array" aca="1" ref="R18" ca="1">_FV(C18,"Market cap",TRUE)</f>
        <v>655098636080</v>
      </c>
    </row>
    <row r="19" spans="1:18" ht="22.15">
      <c r="A19" s="11"/>
      <c r="B19" s="3" t="s">
        <v>131</v>
      </c>
      <c r="C19" s="3" t="e" vm="19">
        <v>#VALUE!</v>
      </c>
      <c r="D19" s="3" t="str" cm="1">
        <f t="array" aca="1" ref="D19" ca="1">_FV(C19,"Exchange abbreviation",TRUE)</f>
        <v>XNYS</v>
      </c>
      <c r="E19" s="3" t="str" cm="1">
        <f t="array" aca="1" ref="E19" ca="1">_FV(C19,"Instrument type",TRUE)</f>
        <v>Stock</v>
      </c>
      <c r="F19" s="25" cm="1">
        <f t="array" aca="1" ref="F19" ca="1">_FV(C19,"Last trade time",TRUE)</f>
        <v>46097.855635196094</v>
      </c>
      <c r="G19" s="28" cm="1">
        <f t="array" aca="1" ref="G19" ca="1">_FV(C19,"Volume")</f>
        <v>4833831</v>
      </c>
      <c r="H19" s="23" cm="1">
        <f t="array" aca="1" ref="H19" ca="1">_FV(C19,"Open")</f>
        <v>118</v>
      </c>
      <c r="I19" s="26" cm="1">
        <f t="array" aca="1" ref="I19" ca="1">_FV(C19,"Beta")</f>
        <v>1.069</v>
      </c>
      <c r="J19" s="23" cm="1">
        <f t="array" aca="1" ref="J19" ca="1">_FV(C19,"Price")</f>
        <v>117.09</v>
      </c>
      <c r="K19" s="23" cm="1">
        <f t="array" aca="1" ref="K19" ca="1">_FV(C19,"Change")</f>
        <v>-0.25</v>
      </c>
      <c r="L19" s="27" cm="1">
        <f t="array" aca="1" ref="L19" ca="1">_FV(C19,"Change (%)",TRUE)</f>
        <v>-2.1310000000000001E-3</v>
      </c>
      <c r="M19" s="23" cm="1">
        <f t="array" aca="1" ref="M19" ca="1">_FV(C19,"High")</f>
        <v>118.45</v>
      </c>
      <c r="N19" s="23" cm="1">
        <f t="array" aca="1" ref="N19" ca="1">_FV(C19,"Low")</f>
        <v>116</v>
      </c>
      <c r="O19" s="23" cm="1">
        <f t="array" aca="1" ref="O19" ca="1">_FV(C19,"52 week high",TRUE)</f>
        <v>126</v>
      </c>
      <c r="P19" s="23" cm="1">
        <f t="array" aca="1" ref="P19" ca="1">_FV(C19,"52 week low",TRUE)</f>
        <v>83.44</v>
      </c>
      <c r="Q19" s="23" cm="1">
        <f t="array" aca="1" ref="Q19" ca="1">_FV(C19,"Previous close",TRUE)</f>
        <v>117.34</v>
      </c>
      <c r="R19" s="44" cm="1">
        <f t="array" aca="1" ref="R19" ca="1">_FV(C19,"Market cap",TRUE)</f>
        <v>53024862204</v>
      </c>
    </row>
    <row r="20" spans="1:18" ht="22.15">
      <c r="A20" s="11"/>
      <c r="B20" s="3" t="s">
        <v>134</v>
      </c>
      <c r="C20" s="3" t="e" vm="20">
        <v>#VALUE!</v>
      </c>
      <c r="D20" s="3" t="str" cm="1">
        <f t="array" aca="1" ref="D20" ca="1">_FV(C20,"Exchange abbreviation",TRUE)</f>
        <v>BATS</v>
      </c>
      <c r="E20" s="3" t="str" cm="1">
        <f t="array" aca="1" ref="E20" ca="1">_FV(C20,"Instrument type",TRUE)</f>
        <v>ETF</v>
      </c>
      <c r="F20" s="25" cm="1">
        <f t="array" aca="1" ref="F20" ca="1">_FV(C20,"Last trade time",TRUE)</f>
        <v>46097.864802777345</v>
      </c>
      <c r="G20" s="28" cm="1">
        <f t="array" aca="1" ref="G20" ca="1">_FV(C20,"Volume")</f>
        <v>1613337</v>
      </c>
      <c r="H20" s="23" cm="1">
        <f t="array" aca="1" ref="H20" ca="1">_FV(C20,"Open")</f>
        <v>231.12</v>
      </c>
      <c r="I20" s="26" cm="1">
        <f t="array" aca="1" ref="I20" ca="1">_FV(C20,"Beta")</f>
        <v>0.94530000000000003</v>
      </c>
      <c r="J20" s="23" cm="1">
        <f t="array" aca="1" ref="J20" ca="1">_FV(C20,"Price")</f>
        <v>232.88</v>
      </c>
      <c r="K20" s="23" cm="1">
        <f t="array" aca="1" ref="K20" ca="1">_FV(C20,"Change")</f>
        <v>3.54</v>
      </c>
      <c r="L20" s="27" cm="1">
        <f t="array" aca="1" ref="L20" ca="1">_FV(C20,"Change (%)",TRUE)</f>
        <v>1.5436E-2</v>
      </c>
      <c r="M20" s="23" cm="1">
        <f t="array" aca="1" ref="M20" ca="1">_FV(C20,"High")</f>
        <v>233.91</v>
      </c>
      <c r="N20" s="23" cm="1">
        <f t="array" aca="1" ref="N20" ca="1">_FV(C20,"Low")</f>
        <v>231.1</v>
      </c>
      <c r="O20" s="23" cm="1">
        <f t="array" aca="1" ref="O20" ca="1">_FV(C20,"52 week high",TRUE)</f>
        <v>250.65</v>
      </c>
      <c r="P20" s="23" cm="1">
        <f t="array" aca="1" ref="P20" ca="1">_FV(C20,"52 week low",TRUE)</f>
        <v>129.13999999999999</v>
      </c>
      <c r="Q20" s="23" cm="1">
        <f t="array" aca="1" ref="Q20" ca="1">_FV(C20,"Previous close",TRUE)</f>
        <v>229.34</v>
      </c>
      <c r="R20" s="44" cm="1">
        <f t="array" aca="1" ref="R20" ca="1">_FV(C20,"Market cap",TRUE)</f>
        <v>16010935446.83</v>
      </c>
    </row>
    <row r="21" spans="1:18" ht="22.15">
      <c r="A21" s="11"/>
      <c r="B21" s="3" t="s">
        <v>137</v>
      </c>
      <c r="C21" s="3" t="e" vm="21">
        <v>#VALUE!</v>
      </c>
      <c r="D21" s="3" t="str" cm="1">
        <f t="array" aca="1" ref="D21" ca="1">_FV(C21,"Exchange abbreviation",TRUE)</f>
        <v>XNAS</v>
      </c>
      <c r="E21" s="3" t="str" cm="1">
        <f t="array" aca="1" ref="E21" ca="1">_FV(C21,"Instrument type",TRUE)</f>
        <v>Stock</v>
      </c>
      <c r="F21" s="25" cm="1">
        <f t="array" aca="1" ref="F21" ca="1">_FV(C21,"Last trade time",TRUE)</f>
        <v>46097.864938830469</v>
      </c>
      <c r="G21" s="28" cm="1">
        <f t="array" aca="1" ref="G21" ca="1">_FV(C21,"Volume")</f>
        <v>34366741</v>
      </c>
      <c r="H21" s="23" cm="1">
        <f t="array" aca="1" ref="H21" ca="1">_FV(C21,"Open")</f>
        <v>124.75</v>
      </c>
      <c r="I21" s="26" cm="1">
        <f t="array" aca="1" ref="I21" ca="1">_FV(C21,"Beta")</f>
        <v>-12.587999999999999</v>
      </c>
      <c r="J21" s="23" cm="1">
        <f t="array" aca="1" ref="J21" ca="1">_FV(C21,"Price")</f>
        <v>129.85</v>
      </c>
      <c r="K21" s="23" cm="1">
        <f t="array" aca="1" ref="K21" ca="1">_FV(C21,"Change")</f>
        <v>16.899999999999999</v>
      </c>
      <c r="L21" s="27" cm="1">
        <f t="array" aca="1" ref="L21" ca="1">_FV(C21,"Change (%)",TRUE)</f>
        <v>0.14962400000000001</v>
      </c>
      <c r="M21" s="23" cm="1">
        <f t="array" aca="1" ref="M21" ca="1">_FV(C21,"High")</f>
        <v>132.30000000000001</v>
      </c>
      <c r="N21" s="23" cm="1">
        <f t="array" aca="1" ref="N21" ca="1">_FV(C21,"Low")</f>
        <v>124.423</v>
      </c>
      <c r="O21" s="23" cm="1">
        <f t="array" aca="1" ref="O21" ca="1">_FV(C21,"52 week high",TRUE)</f>
        <v>141.1</v>
      </c>
      <c r="P21" s="23" cm="1">
        <f t="array" aca="1" ref="P21" ca="1">_FV(C21,"52 week low",TRUE)</f>
        <v>18.309999999999999</v>
      </c>
      <c r="Q21" s="23" cm="1">
        <f t="array" aca="1" ref="Q21" ca="1">_FV(C21,"Previous close",TRUE)</f>
        <v>112.95</v>
      </c>
      <c r="R21" s="44" cm="1">
        <f t="array" aca="1" ref="R21" ca="1">_FV(C21,"Market cap",TRUE)</f>
        <v>32854257450</v>
      </c>
    </row>
    <row r="22" spans="1:18" ht="22.15">
      <c r="A22" s="11"/>
      <c r="B22" s="3" t="s">
        <v>140</v>
      </c>
      <c r="C22" s="3" t="e" vm="22">
        <v>#VALUE!</v>
      </c>
      <c r="D22" s="3" t="str" cm="1">
        <f t="array" aca="1" ref="D22" ca="1">_FV(C22,"Exchange abbreviation",TRUE)</f>
        <v>XNAS</v>
      </c>
      <c r="E22" s="3" t="str" cm="1">
        <f t="array" aca="1" ref="E22" ca="1">_FV(C22,"Instrument type",TRUE)</f>
        <v>Stock</v>
      </c>
      <c r="F22" s="25" cm="1">
        <f t="array" aca="1" ref="F22" ca="1">_FV(C22,"Last trade time",TRUE)</f>
        <v>46097.865060497657</v>
      </c>
      <c r="G22" s="28" cm="1">
        <f t="array" aca="1" ref="G22" ca="1">_FV(C22,"Volume")</f>
        <v>215338815</v>
      </c>
      <c r="H22" s="23" cm="1">
        <f t="array" aca="1" ref="H22" ca="1">_FV(C22,"Open")</f>
        <v>182.97</v>
      </c>
      <c r="I22" s="26" cm="1">
        <f t="array" aca="1" ref="I22" ca="1">_FV(C22,"Beta")</f>
        <v>2.3450000000000002</v>
      </c>
      <c r="J22" s="23" cm="1">
        <f t="array" aca="1" ref="J22" ca="1">_FV(C22,"Price")</f>
        <v>183.18680000000001</v>
      </c>
      <c r="K22" s="23" cm="1">
        <f t="array" aca="1" ref="K22" ca="1">_FV(C22,"Change")</f>
        <v>2.9367999999999999</v>
      </c>
      <c r="L22" s="27" cm="1">
        <f t="array" aca="1" ref="L22" ca="1">_FV(C22,"Change (%)",TRUE)</f>
        <v>1.6292999999999998E-2</v>
      </c>
      <c r="M22" s="23" cm="1">
        <f t="array" aca="1" ref="M22" ca="1">_FV(C22,"High")</f>
        <v>188.88</v>
      </c>
      <c r="N22" s="23" cm="1">
        <f t="array" aca="1" ref="N22" ca="1">_FV(C22,"Low")</f>
        <v>181.41</v>
      </c>
      <c r="O22" s="23" cm="1">
        <f t="array" aca="1" ref="O22" ca="1">_FV(C22,"52 week high",TRUE)</f>
        <v>212.18989999999999</v>
      </c>
      <c r="P22" s="23" cm="1">
        <f t="array" aca="1" ref="P22" ca="1">_FV(C22,"52 week low",TRUE)</f>
        <v>86.62</v>
      </c>
      <c r="Q22" s="23" cm="1">
        <f t="array" aca="1" ref="Q22" ca="1">_FV(C22,"Previous close",TRUE)</f>
        <v>180.25</v>
      </c>
      <c r="R22" s="44" cm="1">
        <f t="array" aca="1" ref="R22" ca="1">_FV(C22,"Market cap",TRUE)</f>
        <v>4451439240000</v>
      </c>
    </row>
    <row r="23" spans="1:18" ht="22.15">
      <c r="A23" s="11"/>
      <c r="B23" s="3" t="s">
        <v>143</v>
      </c>
      <c r="C23" s="3" t="e" vm="23">
        <v>#VALUE!</v>
      </c>
      <c r="D23" s="3" t="str" cm="1">
        <f t="array" aca="1" ref="D23" ca="1">_FV(C23,"Exchange abbreviation",TRUE)</f>
        <v>XNYS</v>
      </c>
      <c r="E23" s="3" t="str" cm="1">
        <f t="array" aca="1" ref="E23" ca="1">_FV(C23,"Instrument type",TRUE)</f>
        <v>Stock</v>
      </c>
      <c r="F23" s="25" cm="1">
        <f t="array" aca="1" ref="F23" ca="1">_FV(C23,"Last trade time",TRUE)</f>
        <v>46097.864737106247</v>
      </c>
      <c r="G23" s="28" cm="1">
        <f t="array" aca="1" ref="G23" ca="1">_FV(C23,"Volume")</f>
        <v>21528020</v>
      </c>
      <c r="H23" s="23" cm="1">
        <f t="array" aca="1" ref="H23" ca="1">_FV(C23,"Open")</f>
        <v>156.06</v>
      </c>
      <c r="I23" s="26" cm="1">
        <f t="array" aca="1" ref="I23" ca="1">_FV(C23,"Beta")</f>
        <v>1.597</v>
      </c>
      <c r="J23" s="23" cm="1">
        <f t="array" aca="1" ref="J23" ca="1">_FV(C23,"Price")</f>
        <v>155.95050000000001</v>
      </c>
      <c r="K23" s="23" cm="1">
        <f t="array" aca="1" ref="K23" ca="1">_FV(C23,"Change")</f>
        <v>0.84050000000000002</v>
      </c>
      <c r="L23" s="27" cm="1">
        <f t="array" aca="1" ref="L23" ca="1">_FV(C23,"Change (%)",TRUE)</f>
        <v>5.4190000000000002E-3</v>
      </c>
      <c r="M23" s="23" cm="1">
        <f t="array" aca="1" ref="M23" ca="1">_FV(C23,"High")</f>
        <v>158.74</v>
      </c>
      <c r="N23" s="23" cm="1">
        <f t="array" aca="1" ref="N23" ca="1">_FV(C23,"Low")</f>
        <v>154.5104</v>
      </c>
      <c r="O23" s="23" cm="1">
        <f t="array" aca="1" ref="O23" ca="1">_FV(C23,"52 week high",TRUE)</f>
        <v>345.72</v>
      </c>
      <c r="P23" s="23" cm="1">
        <f t="array" aca="1" ref="P23" ca="1">_FV(C23,"52 week low",TRUE)</f>
        <v>118.86</v>
      </c>
      <c r="Q23" s="23" cm="1">
        <f t="array" aca="1" ref="Q23" ca="1">_FV(C23,"Previous close",TRUE)</f>
        <v>155.11000000000001</v>
      </c>
      <c r="R23" s="44" cm="1">
        <f t="array" aca="1" ref="R23" ca="1">_FV(C23,"Market cap",TRUE)</f>
        <v>448520811723</v>
      </c>
    </row>
    <row r="24" spans="1:18" ht="22.15">
      <c r="A24" s="11"/>
      <c r="B24" s="3" t="s">
        <v>146</v>
      </c>
      <c r="C24" s="3" t="e" vm="24">
        <v>#VALUE!</v>
      </c>
      <c r="D24" s="3" t="str" cm="1">
        <f t="array" aca="1" ref="D24" ca="1">_FV(C24,"Exchange abbreviation",TRUE)</f>
        <v>XNAS</v>
      </c>
      <c r="E24" s="3" t="str" cm="1">
        <f t="array" aca="1" ref="E24" ca="1">_FV(C24,"Instrument type",TRUE)</f>
        <v>ETF</v>
      </c>
      <c r="F24" s="25" cm="1">
        <f t="array" aca="1" ref="F24" ca="1">_FV(C24,"Last trade time",TRUE)</f>
        <v>46097.847093332814</v>
      </c>
      <c r="G24" s="28" cm="1">
        <f t="array" aca="1" ref="G24" ca="1">_FV(C24,"Volume")</f>
        <v>1190364</v>
      </c>
      <c r="H24" s="23" cm="1">
        <f t="array" aca="1" ref="H24" ca="1">_FV(C24,"Open")</f>
        <v>166.39</v>
      </c>
      <c r="I24" s="26" cm="1">
        <f t="array" aca="1" ref="I24" ca="1">_FV(C24,"Beta")</f>
        <v>0.98740000000000006</v>
      </c>
      <c r="J24" s="23" cm="1">
        <f t="array" aca="1" ref="J24" ca="1">_FV(C24,"Price")</f>
        <v>167.14</v>
      </c>
      <c r="K24" s="23" cm="1">
        <f t="array" aca="1" ref="K24" ca="1">_FV(C24,"Change")</f>
        <v>1.63</v>
      </c>
      <c r="L24" s="27" cm="1">
        <f t="array" aca="1" ref="L24" ca="1">_FV(C24,"Change (%)",TRUE)</f>
        <v>9.8480000000000009E-3</v>
      </c>
      <c r="M24" s="23" cm="1">
        <f t="array" aca="1" ref="M24" ca="1">_FV(C24,"High")</f>
        <v>168.8</v>
      </c>
      <c r="N24" s="23" cm="1">
        <f t="array" aca="1" ref="N24" ca="1">_FV(C24,"Low")</f>
        <v>166.39</v>
      </c>
      <c r="O24" s="23" cm="1">
        <f t="array" aca="1" ref="O24" ca="1">_FV(C24,"52 week high",TRUE)</f>
        <v>179.64</v>
      </c>
      <c r="P24" s="23" cm="1">
        <f t="array" aca="1" ref="P24" ca="1">_FV(C24,"52 week low",TRUE)</f>
        <v>107.43</v>
      </c>
      <c r="Q24" s="23" cm="1">
        <f t="array" aca="1" ref="Q24" ca="1">_FV(C24,"Previous close",TRUE)</f>
        <v>165.51</v>
      </c>
      <c r="R24" s="44" cm="1">
        <f t="array" aca="1" ref="R24" ca="1">_FV(C24,"Market cap",TRUE)</f>
        <v>8784036686.0200005</v>
      </c>
    </row>
    <row r="25" spans="1:18" ht="22.15">
      <c r="A25" s="11"/>
      <c r="B25" s="3" t="s">
        <v>149</v>
      </c>
      <c r="C25" s="3" t="e" vm="25">
        <v>#VALUE!</v>
      </c>
      <c r="D25" s="3" t="str" cm="1">
        <f t="array" aca="1" ref="D25" ca="1">_FV(C25,"Exchange abbreviation",TRUE)</f>
        <v>OTCM</v>
      </c>
      <c r="E25" s="3" t="str" cm="1">
        <f t="array" aca="1" ref="E25" ca="1">_FV(C25,"Instrument type",TRUE)</f>
        <v>Stock</v>
      </c>
      <c r="F25" s="25" cm="1">
        <f t="array" aca="1" ref="F25" ca="1">_FV(C25,"Last trade time",TRUE)</f>
        <v>46097.840632407031</v>
      </c>
      <c r="G25" s="28" cm="1">
        <f t="array" aca="1" ref="G25" ca="1">_FV(C25,"Volume")</f>
        <v>422253</v>
      </c>
      <c r="H25" s="23" cm="1">
        <f t="array" aca="1" ref="H25" ca="1">_FV(C25,"Open")</f>
        <v>126.99</v>
      </c>
      <c r="I25" s="26" cm="1">
        <f t="array" aca="1" ref="I25" ca="1">_FV(C25,"Beta")</f>
        <v>1.3019000000000001</v>
      </c>
      <c r="J25" s="23" cm="1">
        <f t="array" aca="1" ref="J25" ca="1">_FV(C25,"Price")</f>
        <v>126.67</v>
      </c>
      <c r="K25" s="23" cm="1">
        <f t="array" aca="1" ref="K25" ca="1">_FV(C25,"Change")</f>
        <v>1.68</v>
      </c>
      <c r="L25" s="27" cm="1">
        <f t="array" aca="1" ref="L25" ca="1">_FV(C25,"Change (%)",TRUE)</f>
        <v>1.3441000000000002E-2</v>
      </c>
      <c r="M25" s="23" cm="1">
        <f t="array" aca="1" ref="M25" ca="1">_FV(C25,"High")</f>
        <v>127.88</v>
      </c>
      <c r="N25" s="23" cm="1">
        <f t="array" aca="1" ref="N25" ca="1">_FV(C25,"Low")</f>
        <v>125.6</v>
      </c>
      <c r="O25" s="23" cm="1">
        <f t="array" aca="1" ref="O25" ca="1">_FV(C25,"52 week high",TRUE)</f>
        <v>161.80000000000001</v>
      </c>
      <c r="P25" s="23" cm="1">
        <f t="array" aca="1" ref="P25" ca="1">_FV(C25,"52 week low",TRUE)</f>
        <v>94.545000000000002</v>
      </c>
      <c r="Q25" s="23" cm="1">
        <f t="array" aca="1" ref="Q25" ca="1">_FV(C25,"Previous close",TRUE)</f>
        <v>124.99</v>
      </c>
      <c r="R25" s="44" cm="1">
        <f t="array" aca="1" ref="R25" ca="1">_FV(C25,"Market cap",TRUE)</f>
        <v>198111880000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52DD0-2D30-0249-832D-557AEDCA4765}">
  <sheetPr codeName="Sheet4"/>
  <dimension ref="A1:KK420"/>
  <sheetViews>
    <sheetView tabSelected="1" topLeftCell="A2" zoomScale="57" zoomScaleNormal="100" workbookViewId="0">
      <selection activeCell="J3" sqref="J3"/>
    </sheetView>
  </sheetViews>
  <sheetFormatPr defaultColWidth="11.42578125" defaultRowHeight="25.15"/>
  <cols>
    <col min="1" max="1" width="33.7109375" style="16" bestFit="1" customWidth="1"/>
    <col min="2" max="2" width="31" style="16" bestFit="1" customWidth="1"/>
    <col min="3" max="3" width="54.140625" style="22" customWidth="1"/>
    <col min="4" max="4" width="73.140625" style="22" customWidth="1"/>
    <col min="5" max="5" width="115.85546875" style="22" customWidth="1"/>
    <col min="6" max="6" width="11.42578125" style="16"/>
    <col min="7" max="7" width="22.85546875" style="16" customWidth="1"/>
    <col min="8" max="8" width="38.140625" style="16" customWidth="1"/>
    <col min="9" max="295" width="11.42578125" style="16"/>
    <col min="296" max="296" width="15.140625" style="16" bestFit="1" customWidth="1"/>
    <col min="297" max="297" width="8.42578125" style="16" bestFit="1" customWidth="1"/>
    <col min="298" max="16384" width="11.42578125" style="16"/>
  </cols>
  <sheetData>
    <row r="1" spans="1:9" ht="50.45">
      <c r="A1" s="15" t="s">
        <v>167</v>
      </c>
      <c r="B1" s="15" t="s">
        <v>168</v>
      </c>
      <c r="C1" s="15" t="s">
        <v>169</v>
      </c>
      <c r="D1" s="15" t="s">
        <v>170</v>
      </c>
      <c r="E1" s="15" t="s">
        <v>171</v>
      </c>
    </row>
    <row r="2" spans="1:9" ht="299.45" customHeight="1">
      <c r="A2" s="17">
        <v>45692</v>
      </c>
      <c r="B2" s="17">
        <v>46070</v>
      </c>
      <c r="C2" s="47" t="s">
        <v>172</v>
      </c>
      <c r="D2" s="47" t="s">
        <v>173</v>
      </c>
      <c r="E2" s="47" t="s">
        <v>174</v>
      </c>
    </row>
    <row r="3" spans="1:9" ht="341.45" customHeight="1">
      <c r="A3" s="17">
        <f>B2+1</f>
        <v>46071</v>
      </c>
      <c r="B3" s="17">
        <v>46083</v>
      </c>
      <c r="C3" s="47" t="s">
        <v>175</v>
      </c>
      <c r="D3" s="18" t="s">
        <v>176</v>
      </c>
      <c r="E3" s="47" t="s">
        <v>177</v>
      </c>
      <c r="G3" s="86"/>
      <c r="H3" s="86"/>
      <c r="I3" s="86"/>
    </row>
    <row r="4" spans="1:9" ht="409.6">
      <c r="A4" s="17">
        <f t="shared" ref="A4" si="0">B3+1</f>
        <v>46084</v>
      </c>
      <c r="B4" s="85">
        <v>46097</v>
      </c>
      <c r="C4" s="84" t="s">
        <v>178</v>
      </c>
      <c r="D4" s="84" t="s">
        <v>179</v>
      </c>
      <c r="E4" s="18" t="s">
        <v>180</v>
      </c>
    </row>
    <row r="5" spans="1:9">
      <c r="A5" s="17"/>
      <c r="B5" s="17"/>
      <c r="C5" s="18"/>
      <c r="D5" s="84"/>
      <c r="E5" s="18"/>
    </row>
    <row r="6" spans="1:9">
      <c r="A6" s="17"/>
      <c r="B6" s="17"/>
      <c r="C6" s="18"/>
      <c r="D6" s="84"/>
      <c r="E6" s="18"/>
    </row>
    <row r="7" spans="1:9">
      <c r="A7" s="17"/>
      <c r="B7" s="17"/>
      <c r="C7" s="18"/>
      <c r="D7" s="84"/>
      <c r="E7" s="18"/>
    </row>
    <row r="8" spans="1:9">
      <c r="A8" s="19"/>
      <c r="B8" s="19"/>
      <c r="C8" s="20"/>
      <c r="D8" s="20"/>
      <c r="E8" s="20"/>
    </row>
    <row r="9" spans="1:9">
      <c r="A9" s="19"/>
      <c r="B9" s="19"/>
      <c r="C9" s="20"/>
      <c r="D9" s="20"/>
      <c r="E9" s="20"/>
    </row>
    <row r="10" spans="1:9">
      <c r="A10" s="19"/>
      <c r="B10" s="19"/>
      <c r="C10" s="20"/>
      <c r="D10" s="20"/>
      <c r="E10" s="20"/>
    </row>
    <row r="11" spans="1:9">
      <c r="A11" s="19"/>
      <c r="B11" s="19"/>
      <c r="C11" s="20"/>
      <c r="D11" s="20"/>
      <c r="E11" s="20"/>
    </row>
    <row r="12" spans="1:9">
      <c r="A12" s="19"/>
      <c r="B12" s="19"/>
      <c r="C12" s="20"/>
      <c r="D12" s="20"/>
      <c r="E12" s="20"/>
    </row>
    <row r="13" spans="1:9">
      <c r="A13" s="19"/>
      <c r="B13" s="19"/>
      <c r="C13" s="20"/>
      <c r="D13" s="20"/>
      <c r="E13" s="20"/>
    </row>
    <row r="14" spans="1:9">
      <c r="A14" s="19"/>
      <c r="B14" s="19"/>
      <c r="C14" s="20"/>
      <c r="D14" s="20"/>
      <c r="E14" s="20"/>
    </row>
    <row r="15" spans="1:9">
      <c r="A15" s="19"/>
      <c r="B15" s="19"/>
      <c r="C15" s="20"/>
      <c r="D15" s="20"/>
      <c r="E15" s="20"/>
    </row>
    <row r="16" spans="1:9">
      <c r="A16" s="19"/>
      <c r="B16" s="19"/>
      <c r="C16" s="20"/>
      <c r="D16" s="20"/>
      <c r="E16" s="20"/>
    </row>
    <row r="17" spans="1:5">
      <c r="A17" s="19"/>
      <c r="B17" s="19"/>
      <c r="C17" s="20"/>
      <c r="D17" s="20"/>
      <c r="E17" s="20"/>
    </row>
    <row r="18" spans="1:5">
      <c r="A18" s="19"/>
      <c r="B18" s="19"/>
      <c r="C18" s="20"/>
      <c r="D18" s="20"/>
      <c r="E18" s="20"/>
    </row>
    <row r="19" spans="1:5">
      <c r="A19" s="19"/>
      <c r="B19" s="19"/>
      <c r="C19" s="20"/>
      <c r="D19" s="20"/>
      <c r="E19" s="20"/>
    </row>
    <row r="20" spans="1:5">
      <c r="A20" s="19"/>
      <c r="B20" s="19"/>
      <c r="C20" s="20"/>
      <c r="D20" s="20"/>
      <c r="E20" s="20"/>
    </row>
    <row r="21" spans="1:5">
      <c r="A21" s="19"/>
      <c r="B21" s="19"/>
      <c r="C21" s="20"/>
      <c r="D21" s="20"/>
      <c r="E21" s="20"/>
    </row>
    <row r="22" spans="1:5">
      <c r="A22" s="19"/>
      <c r="B22" s="19"/>
      <c r="C22" s="20"/>
      <c r="D22" s="20"/>
      <c r="E22" s="20"/>
    </row>
    <row r="23" spans="1:5">
      <c r="A23" s="19"/>
      <c r="B23" s="19"/>
      <c r="C23" s="20"/>
      <c r="D23" s="20"/>
      <c r="E23" s="20"/>
    </row>
    <row r="24" spans="1:5">
      <c r="A24" s="19"/>
      <c r="B24" s="19"/>
      <c r="C24" s="20"/>
      <c r="D24" s="20"/>
      <c r="E24" s="20"/>
    </row>
    <row r="25" spans="1:5">
      <c r="A25" s="19"/>
      <c r="B25" s="19"/>
      <c r="C25" s="20"/>
      <c r="D25" s="20"/>
      <c r="E25" s="20"/>
    </row>
    <row r="26" spans="1:5">
      <c r="A26" s="19"/>
      <c r="B26" s="19"/>
      <c r="C26" s="20"/>
      <c r="D26" s="20"/>
      <c r="E26" s="20"/>
    </row>
    <row r="27" spans="1:5">
      <c r="A27" s="19"/>
      <c r="B27" s="19"/>
      <c r="C27" s="20"/>
      <c r="D27" s="20"/>
      <c r="E27" s="20"/>
    </row>
    <row r="28" spans="1:5">
      <c r="A28" s="19"/>
      <c r="B28" s="19"/>
      <c r="C28" s="20"/>
      <c r="D28" s="20"/>
      <c r="E28" s="20"/>
    </row>
    <row r="29" spans="1:5">
      <c r="A29" s="19"/>
      <c r="B29" s="19"/>
      <c r="C29" s="20"/>
      <c r="D29" s="20"/>
      <c r="E29" s="20"/>
    </row>
    <row r="30" spans="1:5">
      <c r="A30" s="19"/>
      <c r="B30" s="19"/>
      <c r="C30" s="20"/>
      <c r="D30" s="20"/>
      <c r="E30" s="20"/>
    </row>
    <row r="31" spans="1:5">
      <c r="A31" s="19"/>
      <c r="B31" s="19"/>
      <c r="C31" s="20"/>
      <c r="D31" s="20"/>
      <c r="E31" s="20"/>
    </row>
    <row r="32" spans="1:5">
      <c r="A32" s="19"/>
      <c r="B32" s="19"/>
      <c r="C32" s="20"/>
      <c r="D32" s="20"/>
      <c r="E32" s="20"/>
    </row>
    <row r="33" spans="1:5">
      <c r="A33" s="19"/>
      <c r="B33" s="19"/>
      <c r="C33" s="20"/>
      <c r="D33" s="20"/>
      <c r="E33" s="20"/>
    </row>
    <row r="34" spans="1:5">
      <c r="A34" s="19"/>
      <c r="B34" s="19"/>
      <c r="C34" s="20"/>
      <c r="D34" s="20"/>
      <c r="E34" s="20"/>
    </row>
    <row r="35" spans="1:5">
      <c r="A35" s="19"/>
      <c r="B35" s="19"/>
      <c r="C35" s="20"/>
      <c r="D35" s="20"/>
      <c r="E35" s="20"/>
    </row>
    <row r="36" spans="1:5">
      <c r="A36" s="19"/>
      <c r="B36" s="19"/>
      <c r="C36" s="20"/>
      <c r="D36" s="20"/>
      <c r="E36" s="20"/>
    </row>
    <row r="37" spans="1:5">
      <c r="A37" s="19"/>
      <c r="B37" s="19"/>
      <c r="C37" s="20"/>
      <c r="D37" s="20"/>
      <c r="E37" s="20"/>
    </row>
    <row r="38" spans="1:5">
      <c r="A38" s="19"/>
      <c r="B38" s="19"/>
      <c r="C38" s="20"/>
      <c r="D38" s="20"/>
      <c r="E38" s="20"/>
    </row>
    <row r="39" spans="1:5">
      <c r="A39" s="19"/>
      <c r="B39" s="19"/>
      <c r="C39" s="20"/>
      <c r="D39" s="20"/>
      <c r="E39" s="20"/>
    </row>
    <row r="40" spans="1:5">
      <c r="A40" s="19"/>
      <c r="B40" s="19"/>
      <c r="C40" s="20"/>
      <c r="D40" s="20"/>
      <c r="E40" s="20"/>
    </row>
    <row r="41" spans="1:5">
      <c r="A41" s="19"/>
      <c r="B41" s="19"/>
      <c r="C41" s="20"/>
      <c r="D41" s="20"/>
      <c r="E41" s="20"/>
    </row>
    <row r="42" spans="1:5">
      <c r="A42" s="19"/>
      <c r="B42" s="19"/>
      <c r="C42" s="20"/>
      <c r="D42" s="20"/>
      <c r="E42" s="20"/>
    </row>
    <row r="43" spans="1:5">
      <c r="A43" s="19"/>
      <c r="B43" s="19"/>
      <c r="C43" s="20"/>
      <c r="D43" s="20"/>
      <c r="E43" s="20"/>
    </row>
    <row r="44" spans="1:5">
      <c r="A44" s="19"/>
      <c r="B44" s="19"/>
      <c r="C44" s="20"/>
      <c r="D44" s="20"/>
      <c r="E44" s="20"/>
    </row>
    <row r="45" spans="1:5">
      <c r="A45" s="19"/>
      <c r="B45" s="19"/>
      <c r="C45" s="20"/>
      <c r="D45" s="20"/>
      <c r="E45" s="20"/>
    </row>
    <row r="46" spans="1:5">
      <c r="A46" s="19"/>
      <c r="B46" s="19"/>
      <c r="C46" s="20"/>
      <c r="D46" s="20"/>
      <c r="E46" s="20"/>
    </row>
    <row r="47" spans="1:5">
      <c r="A47" s="19"/>
      <c r="B47" s="19"/>
      <c r="C47" s="20"/>
      <c r="D47" s="20"/>
      <c r="E47" s="20"/>
    </row>
    <row r="48" spans="1:5">
      <c r="A48" s="19"/>
      <c r="B48" s="19"/>
      <c r="C48" s="20"/>
      <c r="D48" s="20"/>
      <c r="E48" s="20"/>
    </row>
    <row r="49" spans="1:5">
      <c r="A49" s="19"/>
      <c r="B49" s="19"/>
      <c r="C49" s="20"/>
      <c r="D49" s="20"/>
      <c r="E49" s="20"/>
    </row>
    <row r="50" spans="1:5">
      <c r="A50" s="19"/>
      <c r="B50" s="19"/>
      <c r="C50" s="20"/>
      <c r="D50" s="20"/>
      <c r="E50" s="20"/>
    </row>
    <row r="51" spans="1:5">
      <c r="A51" s="21"/>
      <c r="B51" s="21"/>
      <c r="C51" s="20"/>
      <c r="D51" s="20"/>
      <c r="E51" s="20"/>
    </row>
    <row r="52" spans="1:5">
      <c r="A52" s="21"/>
      <c r="B52" s="21"/>
      <c r="C52" s="20"/>
      <c r="D52" s="20"/>
      <c r="E52" s="20"/>
    </row>
    <row r="53" spans="1:5">
      <c r="A53" s="21"/>
      <c r="B53" s="21"/>
      <c r="C53" s="20"/>
      <c r="D53" s="20"/>
      <c r="E53" s="20"/>
    </row>
    <row r="54" spans="1:5">
      <c r="A54" s="21"/>
      <c r="B54" s="21"/>
      <c r="C54" s="20"/>
      <c r="D54" s="20"/>
      <c r="E54" s="20"/>
    </row>
    <row r="55" spans="1:5">
      <c r="A55" s="21"/>
      <c r="B55" s="21"/>
      <c r="C55" s="20"/>
      <c r="D55" s="20"/>
      <c r="E55" s="20"/>
    </row>
    <row r="56" spans="1:5">
      <c r="A56" s="21"/>
      <c r="B56" s="21"/>
      <c r="C56" s="20"/>
      <c r="D56" s="20"/>
      <c r="E56" s="20"/>
    </row>
    <row r="57" spans="1:5">
      <c r="A57" s="21"/>
      <c r="B57" s="21"/>
      <c r="C57" s="20"/>
      <c r="D57" s="20"/>
      <c r="E57" s="20"/>
    </row>
    <row r="58" spans="1:5">
      <c r="A58" s="21"/>
      <c r="B58" s="21"/>
      <c r="C58" s="20"/>
      <c r="D58" s="20"/>
      <c r="E58" s="20"/>
    </row>
    <row r="59" spans="1:5">
      <c r="A59" s="21"/>
      <c r="B59" s="21"/>
      <c r="C59" s="20"/>
      <c r="D59" s="20"/>
      <c r="E59" s="20"/>
    </row>
    <row r="60" spans="1:5">
      <c r="A60" s="21"/>
      <c r="B60" s="21"/>
      <c r="C60" s="20"/>
      <c r="D60" s="20"/>
      <c r="E60" s="20"/>
    </row>
    <row r="61" spans="1:5">
      <c r="A61" s="21"/>
      <c r="B61" s="21"/>
      <c r="C61" s="20"/>
      <c r="D61" s="20"/>
      <c r="E61" s="20"/>
    </row>
    <row r="62" spans="1:5">
      <c r="A62" s="21"/>
      <c r="B62" s="21"/>
      <c r="C62" s="20"/>
      <c r="D62" s="20"/>
      <c r="E62" s="20"/>
    </row>
    <row r="63" spans="1:5">
      <c r="A63" s="21"/>
      <c r="B63" s="21"/>
      <c r="C63" s="20"/>
      <c r="D63" s="20"/>
      <c r="E63" s="20"/>
    </row>
    <row r="64" spans="1:5">
      <c r="A64" s="21"/>
      <c r="B64" s="21"/>
      <c r="C64" s="20"/>
      <c r="D64" s="20"/>
      <c r="E64" s="20"/>
    </row>
    <row r="65" spans="1:5">
      <c r="A65" s="21"/>
      <c r="B65" s="21"/>
      <c r="C65" s="20"/>
      <c r="D65" s="20"/>
      <c r="E65" s="20"/>
    </row>
    <row r="66" spans="1:5">
      <c r="A66" s="21"/>
      <c r="B66" s="21"/>
      <c r="C66" s="20"/>
      <c r="D66" s="20"/>
      <c r="E66" s="20"/>
    </row>
    <row r="67" spans="1:5">
      <c r="A67" s="21"/>
      <c r="B67" s="21"/>
      <c r="C67" s="20"/>
      <c r="D67" s="20"/>
      <c r="E67" s="20"/>
    </row>
    <row r="68" spans="1:5">
      <c r="A68" s="21"/>
      <c r="B68" s="21"/>
      <c r="C68" s="20"/>
      <c r="D68" s="20"/>
      <c r="E68" s="20"/>
    </row>
    <row r="69" spans="1:5">
      <c r="A69" s="21"/>
      <c r="B69" s="21"/>
      <c r="C69" s="20"/>
      <c r="D69" s="20"/>
      <c r="E69" s="20"/>
    </row>
    <row r="70" spans="1:5">
      <c r="A70" s="21"/>
      <c r="B70" s="21"/>
      <c r="C70" s="20"/>
      <c r="D70" s="20"/>
      <c r="E70" s="20"/>
    </row>
    <row r="71" spans="1:5">
      <c r="A71" s="21"/>
      <c r="B71" s="21"/>
      <c r="C71" s="20"/>
      <c r="D71" s="20"/>
      <c r="E71" s="20"/>
    </row>
    <row r="72" spans="1:5">
      <c r="A72" s="21"/>
      <c r="B72" s="21"/>
      <c r="C72" s="20"/>
      <c r="D72" s="20"/>
      <c r="E72" s="20"/>
    </row>
    <row r="73" spans="1:5">
      <c r="A73" s="21"/>
      <c r="B73" s="21"/>
      <c r="C73" s="20"/>
      <c r="D73" s="20"/>
      <c r="E73" s="20"/>
    </row>
    <row r="74" spans="1:5">
      <c r="A74" s="21"/>
      <c r="B74" s="21"/>
      <c r="C74" s="20"/>
      <c r="D74" s="20"/>
      <c r="E74" s="20"/>
    </row>
    <row r="75" spans="1:5">
      <c r="A75" s="21"/>
      <c r="B75" s="21"/>
      <c r="C75" s="20"/>
      <c r="D75" s="20"/>
      <c r="E75" s="20"/>
    </row>
    <row r="76" spans="1:5">
      <c r="A76" s="21"/>
      <c r="B76" s="21"/>
      <c r="C76" s="20"/>
      <c r="D76" s="20"/>
      <c r="E76" s="20"/>
    </row>
    <row r="77" spans="1:5">
      <c r="A77" s="21"/>
      <c r="B77" s="21"/>
      <c r="C77" s="20"/>
      <c r="D77" s="20"/>
      <c r="E77" s="20"/>
    </row>
    <row r="78" spans="1:5">
      <c r="A78" s="21"/>
      <c r="B78" s="21"/>
      <c r="C78" s="20"/>
      <c r="D78" s="20"/>
      <c r="E78" s="20"/>
    </row>
    <row r="79" spans="1:5">
      <c r="A79" s="21"/>
      <c r="B79" s="21"/>
      <c r="C79" s="20"/>
      <c r="D79" s="20"/>
      <c r="E79" s="20"/>
    </row>
    <row r="80" spans="1:5">
      <c r="A80" s="21"/>
      <c r="B80" s="21"/>
      <c r="C80" s="20"/>
      <c r="D80" s="20"/>
      <c r="E80" s="20"/>
    </row>
    <row r="81" spans="1:5">
      <c r="A81" s="21"/>
      <c r="B81" s="21"/>
      <c r="C81" s="20"/>
      <c r="D81" s="20"/>
      <c r="E81" s="20"/>
    </row>
    <row r="82" spans="1:5">
      <c r="A82" s="21"/>
      <c r="B82" s="21"/>
      <c r="C82" s="20"/>
      <c r="D82" s="20"/>
      <c r="E82" s="20"/>
    </row>
    <row r="83" spans="1:5">
      <c r="A83" s="21"/>
      <c r="B83" s="21"/>
      <c r="C83" s="20"/>
      <c r="D83" s="20"/>
      <c r="E83" s="20"/>
    </row>
    <row r="84" spans="1:5">
      <c r="A84" s="21"/>
      <c r="B84" s="21"/>
      <c r="C84" s="20"/>
      <c r="D84" s="20"/>
      <c r="E84" s="20"/>
    </row>
    <row r="85" spans="1:5">
      <c r="A85" s="21"/>
      <c r="B85" s="21"/>
      <c r="C85" s="20"/>
      <c r="D85" s="20"/>
      <c r="E85" s="20"/>
    </row>
    <row r="86" spans="1:5">
      <c r="A86" s="21"/>
      <c r="B86" s="21"/>
      <c r="C86" s="20"/>
      <c r="D86" s="20"/>
      <c r="E86" s="20"/>
    </row>
    <row r="87" spans="1:5">
      <c r="A87" s="21"/>
      <c r="B87" s="21"/>
      <c r="C87" s="20"/>
      <c r="D87" s="20"/>
      <c r="E87" s="20"/>
    </row>
    <row r="88" spans="1:5">
      <c r="A88" s="21"/>
      <c r="B88" s="21"/>
      <c r="C88" s="20"/>
      <c r="D88" s="20"/>
      <c r="E88" s="20"/>
    </row>
    <row r="89" spans="1:5">
      <c r="A89" s="21"/>
      <c r="B89" s="21"/>
      <c r="C89" s="20"/>
      <c r="D89" s="20"/>
      <c r="E89" s="20"/>
    </row>
    <row r="90" spans="1:5">
      <c r="A90" s="21"/>
      <c r="B90" s="21"/>
      <c r="C90" s="20"/>
      <c r="D90" s="20"/>
      <c r="E90" s="20"/>
    </row>
    <row r="91" spans="1:5">
      <c r="A91" s="21"/>
      <c r="B91" s="21"/>
      <c r="C91" s="20"/>
      <c r="D91" s="20"/>
      <c r="E91" s="20"/>
    </row>
    <row r="92" spans="1:5">
      <c r="A92" s="21"/>
      <c r="B92" s="21"/>
      <c r="C92" s="20"/>
      <c r="D92" s="20"/>
      <c r="E92" s="20"/>
    </row>
    <row r="93" spans="1:5">
      <c r="A93" s="21"/>
      <c r="B93" s="21"/>
      <c r="C93" s="20"/>
      <c r="D93" s="20"/>
      <c r="E93" s="20"/>
    </row>
    <row r="94" spans="1:5">
      <c r="A94" s="21"/>
      <c r="B94" s="21"/>
      <c r="C94" s="20"/>
      <c r="D94" s="20"/>
      <c r="E94" s="20"/>
    </row>
    <row r="95" spans="1:5">
      <c r="A95" s="21"/>
      <c r="B95" s="21"/>
      <c r="C95" s="20"/>
      <c r="D95" s="20"/>
      <c r="E95" s="20"/>
    </row>
    <row r="96" spans="1:5">
      <c r="A96" s="21"/>
      <c r="B96" s="21"/>
      <c r="C96" s="20"/>
      <c r="D96" s="20"/>
      <c r="E96" s="20"/>
    </row>
    <row r="97" spans="1:5">
      <c r="A97" s="21"/>
      <c r="B97" s="21"/>
      <c r="C97" s="20"/>
      <c r="D97" s="20"/>
      <c r="E97" s="20"/>
    </row>
    <row r="98" spans="1:5">
      <c r="A98" s="21"/>
      <c r="B98" s="21"/>
      <c r="C98" s="20"/>
      <c r="D98" s="20"/>
      <c r="E98" s="20"/>
    </row>
    <row r="99" spans="1:5">
      <c r="A99" s="21"/>
      <c r="B99" s="21"/>
      <c r="C99" s="20"/>
      <c r="D99" s="20"/>
      <c r="E99" s="20"/>
    </row>
    <row r="100" spans="1:5">
      <c r="A100" s="21"/>
      <c r="B100" s="21"/>
      <c r="C100" s="20"/>
      <c r="D100" s="20"/>
      <c r="E100" s="20"/>
    </row>
    <row r="101" spans="1:5">
      <c r="A101" s="21"/>
      <c r="B101" s="21"/>
      <c r="C101" s="20"/>
      <c r="D101" s="20"/>
      <c r="E101" s="20"/>
    </row>
    <row r="102" spans="1:5">
      <c r="A102" s="21"/>
      <c r="B102" s="21"/>
      <c r="C102" s="20"/>
      <c r="D102" s="20"/>
      <c r="E102" s="20"/>
    </row>
    <row r="103" spans="1:5">
      <c r="A103" s="21"/>
      <c r="B103" s="21"/>
      <c r="C103" s="20"/>
      <c r="D103" s="20"/>
      <c r="E103" s="20"/>
    </row>
    <row r="104" spans="1:5">
      <c r="A104" s="21"/>
      <c r="B104" s="21"/>
      <c r="C104" s="20"/>
      <c r="D104" s="20"/>
      <c r="E104" s="20"/>
    </row>
    <row r="105" spans="1:5">
      <c r="A105" s="21"/>
      <c r="B105" s="21"/>
      <c r="C105" s="20"/>
      <c r="D105" s="20"/>
      <c r="E105" s="20"/>
    </row>
    <row r="106" spans="1:5">
      <c r="A106" s="21"/>
      <c r="B106" s="21"/>
      <c r="C106" s="20"/>
      <c r="D106" s="20"/>
      <c r="E106" s="20"/>
    </row>
    <row r="107" spans="1:5">
      <c r="A107" s="21"/>
      <c r="B107" s="21"/>
      <c r="C107" s="20"/>
      <c r="D107" s="20"/>
      <c r="E107" s="20"/>
    </row>
    <row r="108" spans="1:5">
      <c r="A108" s="21"/>
      <c r="B108" s="21"/>
      <c r="C108" s="20"/>
      <c r="D108" s="20"/>
      <c r="E108" s="20"/>
    </row>
    <row r="109" spans="1:5">
      <c r="A109" s="21"/>
      <c r="B109" s="21"/>
      <c r="C109" s="20"/>
      <c r="D109" s="20"/>
      <c r="E109" s="20"/>
    </row>
    <row r="110" spans="1:5">
      <c r="A110" s="21"/>
      <c r="B110" s="21"/>
      <c r="C110" s="20"/>
      <c r="D110" s="20"/>
      <c r="E110" s="20"/>
    </row>
    <row r="111" spans="1:5">
      <c r="A111" s="21"/>
      <c r="B111" s="21"/>
      <c r="C111" s="20"/>
      <c r="D111" s="20"/>
      <c r="E111" s="20"/>
    </row>
    <row r="112" spans="1:5">
      <c r="A112" s="21"/>
      <c r="B112" s="21"/>
      <c r="C112" s="20"/>
      <c r="D112" s="20"/>
      <c r="E112" s="20"/>
    </row>
    <row r="113" spans="1:5">
      <c r="A113" s="21"/>
      <c r="B113" s="21"/>
      <c r="C113" s="20"/>
      <c r="D113" s="20"/>
      <c r="E113" s="20"/>
    </row>
    <row r="114" spans="1:5">
      <c r="A114" s="21"/>
      <c r="B114" s="21"/>
      <c r="C114" s="20"/>
      <c r="D114" s="20"/>
      <c r="E114" s="20"/>
    </row>
    <row r="115" spans="1:5">
      <c r="A115" s="21"/>
      <c r="B115" s="21"/>
      <c r="C115" s="20"/>
      <c r="D115" s="20"/>
      <c r="E115" s="20"/>
    </row>
    <row r="116" spans="1:5">
      <c r="A116" s="21"/>
      <c r="B116" s="21"/>
      <c r="C116" s="20"/>
      <c r="D116" s="20"/>
      <c r="E116" s="20"/>
    </row>
    <row r="117" spans="1:5">
      <c r="A117" s="21"/>
      <c r="B117" s="21"/>
      <c r="C117" s="20"/>
      <c r="D117" s="20"/>
      <c r="E117" s="20"/>
    </row>
    <row r="118" spans="1:5">
      <c r="A118" s="21"/>
      <c r="B118" s="21"/>
      <c r="C118" s="20"/>
      <c r="D118" s="20"/>
      <c r="E118" s="20"/>
    </row>
    <row r="119" spans="1:5">
      <c r="A119" s="21"/>
      <c r="B119" s="21"/>
      <c r="C119" s="20"/>
      <c r="D119" s="20"/>
      <c r="E119" s="20"/>
    </row>
    <row r="120" spans="1:5">
      <c r="A120" s="21"/>
      <c r="B120" s="21"/>
      <c r="C120" s="20"/>
      <c r="D120" s="20"/>
      <c r="E120" s="20"/>
    </row>
    <row r="121" spans="1:5">
      <c r="A121" s="21"/>
      <c r="B121" s="21"/>
      <c r="C121" s="20"/>
      <c r="D121" s="20"/>
      <c r="E121" s="20"/>
    </row>
    <row r="122" spans="1:5">
      <c r="A122" s="21"/>
      <c r="B122" s="21"/>
      <c r="C122" s="20"/>
      <c r="D122" s="20"/>
      <c r="E122" s="20"/>
    </row>
    <row r="123" spans="1:5">
      <c r="A123" s="21"/>
      <c r="B123" s="21"/>
      <c r="C123" s="20"/>
      <c r="D123" s="20"/>
      <c r="E123" s="20"/>
    </row>
    <row r="124" spans="1:5">
      <c r="A124" s="21"/>
      <c r="B124" s="21"/>
      <c r="C124" s="20"/>
      <c r="D124" s="20"/>
      <c r="E124" s="20"/>
    </row>
    <row r="125" spans="1:5">
      <c r="A125" s="21"/>
      <c r="B125" s="21"/>
      <c r="C125" s="20"/>
      <c r="D125" s="20"/>
      <c r="E125" s="20"/>
    </row>
    <row r="126" spans="1:5">
      <c r="A126" s="21"/>
      <c r="B126" s="21"/>
      <c r="C126" s="20"/>
      <c r="D126" s="20"/>
      <c r="E126" s="20"/>
    </row>
    <row r="127" spans="1:5">
      <c r="A127" s="21"/>
      <c r="B127" s="21"/>
      <c r="C127" s="20"/>
      <c r="D127" s="20"/>
      <c r="E127" s="20"/>
    </row>
    <row r="128" spans="1:5">
      <c r="A128" s="21"/>
      <c r="B128" s="21"/>
      <c r="C128" s="20"/>
      <c r="D128" s="20"/>
      <c r="E128" s="20"/>
    </row>
    <row r="129" spans="1:5">
      <c r="A129" s="21"/>
      <c r="B129" s="21"/>
      <c r="C129" s="20"/>
      <c r="D129" s="20"/>
      <c r="E129" s="20"/>
    </row>
    <row r="130" spans="1:5">
      <c r="A130" s="21"/>
      <c r="B130" s="21"/>
      <c r="C130" s="20"/>
      <c r="D130" s="20"/>
      <c r="E130" s="20"/>
    </row>
    <row r="131" spans="1:5">
      <c r="A131" s="21"/>
      <c r="B131" s="21"/>
      <c r="C131" s="20"/>
      <c r="D131" s="20"/>
      <c r="E131" s="20"/>
    </row>
    <row r="132" spans="1:5">
      <c r="A132" s="21"/>
      <c r="B132" s="21"/>
      <c r="C132" s="20"/>
      <c r="D132" s="20"/>
      <c r="E132" s="20"/>
    </row>
    <row r="133" spans="1:5">
      <c r="A133" s="21"/>
      <c r="B133" s="21"/>
      <c r="C133" s="20"/>
      <c r="D133" s="20"/>
      <c r="E133" s="20"/>
    </row>
    <row r="134" spans="1:5">
      <c r="A134" s="21"/>
      <c r="B134" s="21"/>
      <c r="C134" s="20"/>
      <c r="D134" s="20"/>
      <c r="E134" s="20"/>
    </row>
    <row r="135" spans="1:5">
      <c r="A135" s="21"/>
      <c r="B135" s="21"/>
      <c r="C135" s="20"/>
      <c r="D135" s="20"/>
      <c r="E135" s="20"/>
    </row>
    <row r="136" spans="1:5">
      <c r="A136" s="21"/>
      <c r="B136" s="21"/>
      <c r="C136" s="20"/>
      <c r="D136" s="20"/>
      <c r="E136" s="20"/>
    </row>
    <row r="137" spans="1:5">
      <c r="A137" s="21"/>
      <c r="B137" s="21"/>
      <c r="C137" s="20"/>
      <c r="D137" s="20"/>
      <c r="E137" s="20"/>
    </row>
    <row r="138" spans="1:5">
      <c r="A138" s="21"/>
      <c r="B138" s="21"/>
      <c r="C138" s="20"/>
      <c r="D138" s="20"/>
      <c r="E138" s="20"/>
    </row>
    <row r="139" spans="1:5">
      <c r="A139" s="21"/>
      <c r="B139" s="21"/>
      <c r="C139" s="20"/>
      <c r="D139" s="20"/>
      <c r="E139" s="20"/>
    </row>
    <row r="140" spans="1:5">
      <c r="A140" s="21"/>
      <c r="B140" s="21"/>
      <c r="C140" s="20"/>
      <c r="D140" s="20"/>
      <c r="E140" s="20"/>
    </row>
    <row r="141" spans="1:5">
      <c r="A141" s="21"/>
      <c r="B141" s="21"/>
      <c r="C141" s="20"/>
      <c r="D141" s="20"/>
      <c r="E141" s="20"/>
    </row>
    <row r="142" spans="1:5">
      <c r="A142" s="21"/>
      <c r="B142" s="21"/>
      <c r="C142" s="20"/>
      <c r="D142" s="20"/>
      <c r="E142" s="20"/>
    </row>
    <row r="143" spans="1:5">
      <c r="A143" s="21"/>
      <c r="B143" s="21"/>
      <c r="C143" s="20"/>
      <c r="D143" s="20"/>
      <c r="E143" s="20"/>
    </row>
    <row r="144" spans="1:5">
      <c r="A144" s="21"/>
      <c r="B144" s="21"/>
      <c r="C144" s="20"/>
      <c r="D144" s="20"/>
      <c r="E144" s="20"/>
    </row>
    <row r="145" spans="1:5">
      <c r="A145" s="21"/>
      <c r="B145" s="21"/>
      <c r="C145" s="20"/>
      <c r="D145" s="20"/>
      <c r="E145" s="20"/>
    </row>
    <row r="146" spans="1:5">
      <c r="A146" s="21"/>
      <c r="B146" s="21"/>
      <c r="C146" s="20"/>
      <c r="D146" s="20"/>
      <c r="E146" s="20"/>
    </row>
    <row r="147" spans="1:5">
      <c r="A147" s="21"/>
      <c r="B147" s="21"/>
      <c r="C147" s="20"/>
      <c r="D147" s="20"/>
      <c r="E147" s="20"/>
    </row>
    <row r="148" spans="1:5">
      <c r="A148" s="21"/>
      <c r="B148" s="21"/>
      <c r="C148" s="20"/>
      <c r="D148" s="20"/>
      <c r="E148" s="20"/>
    </row>
    <row r="149" spans="1:5">
      <c r="A149" s="21"/>
      <c r="B149" s="21"/>
      <c r="C149" s="20"/>
      <c r="D149" s="20"/>
      <c r="E149" s="20"/>
    </row>
    <row r="150" spans="1:5">
      <c r="A150" s="21"/>
      <c r="B150" s="21"/>
      <c r="C150" s="20"/>
      <c r="D150" s="20"/>
      <c r="E150" s="20"/>
    </row>
    <row r="151" spans="1:5">
      <c r="A151" s="21"/>
      <c r="B151" s="21"/>
      <c r="C151" s="20"/>
      <c r="D151" s="20"/>
      <c r="E151" s="20"/>
    </row>
    <row r="152" spans="1:5">
      <c r="A152" s="21"/>
      <c r="B152" s="21"/>
      <c r="C152" s="20"/>
      <c r="D152" s="20"/>
      <c r="E152" s="20"/>
    </row>
    <row r="153" spans="1:5">
      <c r="A153" s="21"/>
      <c r="B153" s="21"/>
      <c r="C153" s="20"/>
      <c r="D153" s="20"/>
      <c r="E153" s="20"/>
    </row>
    <row r="154" spans="1:5">
      <c r="A154" s="21"/>
      <c r="B154" s="21"/>
      <c r="C154" s="20"/>
      <c r="D154" s="20"/>
      <c r="E154" s="20"/>
    </row>
    <row r="155" spans="1:5">
      <c r="A155" s="21"/>
      <c r="B155" s="21"/>
      <c r="C155" s="20"/>
      <c r="D155" s="20"/>
      <c r="E155" s="20"/>
    </row>
    <row r="156" spans="1:5">
      <c r="A156" s="21"/>
      <c r="B156" s="21"/>
      <c r="C156" s="20"/>
      <c r="D156" s="20"/>
      <c r="E156" s="20"/>
    </row>
    <row r="157" spans="1:5">
      <c r="A157" s="21"/>
      <c r="B157" s="21"/>
      <c r="C157" s="20"/>
      <c r="D157" s="20"/>
      <c r="E157" s="20"/>
    </row>
    <row r="158" spans="1:5">
      <c r="A158" s="21"/>
      <c r="B158" s="21"/>
      <c r="C158" s="20"/>
      <c r="D158" s="20"/>
      <c r="E158" s="20"/>
    </row>
    <row r="159" spans="1:5">
      <c r="A159" s="21"/>
      <c r="B159" s="21"/>
      <c r="C159" s="20"/>
      <c r="D159" s="20"/>
      <c r="E159" s="20"/>
    </row>
    <row r="160" spans="1:5">
      <c r="A160" s="21"/>
      <c r="B160" s="21"/>
      <c r="C160" s="20"/>
      <c r="D160" s="20"/>
      <c r="E160" s="20"/>
    </row>
    <row r="161" spans="1:5">
      <c r="A161" s="21"/>
      <c r="B161" s="21"/>
      <c r="C161" s="20"/>
      <c r="D161" s="20"/>
      <c r="E161" s="20"/>
    </row>
    <row r="162" spans="1:5">
      <c r="A162" s="21"/>
      <c r="B162" s="21"/>
      <c r="C162" s="20"/>
      <c r="D162" s="20"/>
      <c r="E162" s="20"/>
    </row>
    <row r="163" spans="1:5">
      <c r="A163" s="21"/>
      <c r="B163" s="21"/>
      <c r="C163" s="20"/>
      <c r="D163" s="20"/>
      <c r="E163" s="20"/>
    </row>
    <row r="164" spans="1:5">
      <c r="A164" s="21"/>
      <c r="B164" s="21"/>
      <c r="C164" s="20"/>
      <c r="D164" s="20"/>
      <c r="E164" s="20"/>
    </row>
    <row r="165" spans="1:5">
      <c r="A165" s="21"/>
      <c r="B165" s="21"/>
      <c r="C165" s="20"/>
      <c r="D165" s="20"/>
      <c r="E165" s="20"/>
    </row>
    <row r="166" spans="1:5">
      <c r="A166" s="21"/>
      <c r="B166" s="21"/>
      <c r="C166" s="20"/>
      <c r="D166" s="20"/>
      <c r="E166" s="20"/>
    </row>
    <row r="167" spans="1:5">
      <c r="A167" s="21"/>
      <c r="B167" s="21"/>
      <c r="C167" s="20"/>
      <c r="D167" s="20"/>
      <c r="E167" s="20"/>
    </row>
    <row r="168" spans="1:5">
      <c r="A168" s="21"/>
      <c r="B168" s="21"/>
      <c r="C168" s="20"/>
      <c r="D168" s="20"/>
      <c r="E168" s="20"/>
    </row>
    <row r="169" spans="1:5">
      <c r="A169" s="21"/>
      <c r="B169" s="21"/>
      <c r="C169" s="20"/>
      <c r="D169" s="20"/>
      <c r="E169" s="20"/>
    </row>
    <row r="170" spans="1:5">
      <c r="A170" s="21"/>
      <c r="B170" s="21"/>
      <c r="C170" s="20"/>
      <c r="D170" s="20"/>
      <c r="E170" s="20"/>
    </row>
    <row r="171" spans="1:5">
      <c r="A171" s="21"/>
      <c r="B171" s="21"/>
      <c r="C171" s="20"/>
      <c r="D171" s="20"/>
      <c r="E171" s="20"/>
    </row>
    <row r="172" spans="1:5">
      <c r="A172" s="21"/>
      <c r="B172" s="21"/>
      <c r="C172" s="20"/>
      <c r="D172" s="20"/>
      <c r="E172" s="20"/>
    </row>
    <row r="173" spans="1:5">
      <c r="A173" s="21"/>
      <c r="B173" s="21"/>
      <c r="C173" s="20"/>
      <c r="D173" s="20"/>
      <c r="E173" s="20"/>
    </row>
    <row r="174" spans="1:5">
      <c r="A174" s="21"/>
      <c r="B174" s="21"/>
      <c r="C174" s="20"/>
      <c r="D174" s="20"/>
      <c r="E174" s="20"/>
    </row>
    <row r="175" spans="1:5">
      <c r="A175" s="21"/>
      <c r="B175" s="21"/>
      <c r="C175" s="20"/>
      <c r="D175" s="20"/>
      <c r="E175" s="20"/>
    </row>
    <row r="176" spans="1:5">
      <c r="A176" s="21"/>
      <c r="B176" s="21"/>
      <c r="C176" s="20"/>
      <c r="D176" s="20"/>
      <c r="E176" s="20"/>
    </row>
    <row r="177" spans="1:5">
      <c r="A177" s="21"/>
      <c r="B177" s="21"/>
      <c r="C177" s="20"/>
      <c r="D177" s="20"/>
      <c r="E177" s="20"/>
    </row>
    <row r="178" spans="1:5">
      <c r="A178" s="21"/>
      <c r="B178" s="21"/>
      <c r="C178" s="20"/>
      <c r="D178" s="20"/>
      <c r="E178" s="20"/>
    </row>
    <row r="179" spans="1:5">
      <c r="A179" s="21"/>
      <c r="B179" s="21"/>
      <c r="C179" s="20"/>
      <c r="D179" s="20"/>
      <c r="E179" s="20"/>
    </row>
    <row r="180" spans="1:5">
      <c r="A180" s="21"/>
      <c r="B180" s="21"/>
      <c r="C180" s="20"/>
      <c r="D180" s="20"/>
      <c r="E180" s="20"/>
    </row>
    <row r="181" spans="1:5">
      <c r="A181" s="21"/>
      <c r="B181" s="21"/>
      <c r="C181" s="20"/>
      <c r="D181" s="20"/>
      <c r="E181" s="20"/>
    </row>
    <row r="182" spans="1:5">
      <c r="A182" s="21"/>
      <c r="B182" s="21"/>
      <c r="C182" s="20"/>
      <c r="D182" s="20"/>
      <c r="E182" s="20"/>
    </row>
    <row r="183" spans="1:5">
      <c r="A183" s="21"/>
      <c r="B183" s="21"/>
      <c r="C183" s="20"/>
      <c r="D183" s="20"/>
      <c r="E183" s="20"/>
    </row>
    <row r="184" spans="1:5">
      <c r="A184" s="21"/>
      <c r="B184" s="21"/>
      <c r="C184" s="20"/>
      <c r="D184" s="20"/>
      <c r="E184" s="20"/>
    </row>
    <row r="185" spans="1:5">
      <c r="A185" s="21"/>
      <c r="B185" s="21"/>
      <c r="C185" s="20"/>
      <c r="D185" s="20"/>
      <c r="E185" s="20"/>
    </row>
    <row r="186" spans="1:5">
      <c r="A186" s="21"/>
      <c r="B186" s="21"/>
      <c r="C186" s="20"/>
      <c r="D186" s="20"/>
      <c r="E186" s="20"/>
    </row>
    <row r="187" spans="1:5">
      <c r="A187" s="21"/>
      <c r="B187" s="21"/>
      <c r="C187" s="20"/>
      <c r="D187" s="20"/>
      <c r="E187" s="20"/>
    </row>
    <row r="188" spans="1:5">
      <c r="A188" s="21"/>
      <c r="B188" s="21"/>
      <c r="C188" s="20"/>
      <c r="D188" s="20"/>
      <c r="E188" s="20"/>
    </row>
    <row r="189" spans="1:5">
      <c r="A189" s="21"/>
      <c r="B189" s="21"/>
      <c r="C189" s="20"/>
      <c r="D189" s="20"/>
      <c r="E189" s="20"/>
    </row>
    <row r="190" spans="1:5">
      <c r="A190" s="21"/>
      <c r="B190" s="21"/>
      <c r="C190" s="20"/>
      <c r="D190" s="20"/>
      <c r="E190" s="20"/>
    </row>
    <row r="191" spans="1:5">
      <c r="A191" s="21"/>
      <c r="B191" s="21"/>
      <c r="C191" s="20"/>
      <c r="D191" s="20"/>
      <c r="E191" s="20"/>
    </row>
    <row r="192" spans="1:5">
      <c r="A192" s="21"/>
      <c r="B192" s="21"/>
      <c r="C192" s="20"/>
      <c r="D192" s="20"/>
      <c r="E192" s="20"/>
    </row>
    <row r="193" spans="1:5">
      <c r="A193" s="21"/>
      <c r="B193" s="21"/>
      <c r="C193" s="20"/>
      <c r="D193" s="20"/>
      <c r="E193" s="20"/>
    </row>
    <row r="194" spans="1:5">
      <c r="A194" s="21"/>
      <c r="B194" s="21"/>
      <c r="C194" s="20"/>
      <c r="D194" s="20"/>
      <c r="E194" s="20"/>
    </row>
    <row r="195" spans="1:5">
      <c r="A195" s="21"/>
      <c r="B195" s="21"/>
      <c r="C195" s="20"/>
      <c r="D195" s="20"/>
      <c r="E195" s="20"/>
    </row>
    <row r="196" spans="1:5">
      <c r="A196" s="21"/>
      <c r="B196" s="21"/>
      <c r="C196" s="20"/>
      <c r="D196" s="20"/>
      <c r="E196" s="20"/>
    </row>
    <row r="197" spans="1:5">
      <c r="A197" s="21"/>
      <c r="B197" s="21"/>
      <c r="C197" s="20"/>
      <c r="D197" s="20"/>
      <c r="E197" s="20"/>
    </row>
    <row r="198" spans="1:5">
      <c r="A198" s="21"/>
      <c r="B198" s="21"/>
      <c r="C198" s="20"/>
      <c r="D198" s="20"/>
      <c r="E198" s="20"/>
    </row>
    <row r="199" spans="1:5">
      <c r="A199" s="21"/>
      <c r="B199" s="21"/>
      <c r="C199" s="20"/>
      <c r="D199" s="20"/>
      <c r="E199" s="20"/>
    </row>
    <row r="418" spans="295:297">
      <c r="KI418" s="16" t="s">
        <v>181</v>
      </c>
      <c r="KJ418" s="16" t="s">
        <v>182</v>
      </c>
      <c r="KK418" s="16" t="s">
        <v>183</v>
      </c>
    </row>
    <row r="419" spans="295:297">
      <c r="KJ419" s="16" t="s">
        <v>184</v>
      </c>
      <c r="KK419" s="16">
        <v>44.17</v>
      </c>
    </row>
    <row r="420" spans="295:297">
      <c r="KJ420" s="16" t="s">
        <v>185</v>
      </c>
      <c r="KK420" s="16">
        <v>55.83</v>
      </c>
    </row>
  </sheetData>
  <mergeCells count="1">
    <mergeCell ref="G3:I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CF45-3DB5-404A-9408-2F89ABDE98CC}">
  <dimension ref="A1:K20"/>
  <sheetViews>
    <sheetView showGridLines="0" zoomScale="61" workbookViewId="0">
      <selection activeCell="L13" sqref="L13"/>
    </sheetView>
  </sheetViews>
  <sheetFormatPr defaultColWidth="8.85546875" defaultRowHeight="25.15"/>
  <cols>
    <col min="1" max="2" width="8.85546875" style="37"/>
    <col min="3" max="3" width="12.7109375" style="37" bestFit="1" customWidth="1"/>
    <col min="4" max="4" width="15.85546875" style="37" customWidth="1"/>
    <col min="5" max="6" width="17.140625" style="37" customWidth="1"/>
    <col min="7" max="7" width="8.85546875" style="37"/>
    <col min="8" max="8" width="35.85546875" style="37" bestFit="1" customWidth="1"/>
    <col min="9" max="9" width="8.85546875" style="37"/>
    <col min="10" max="10" width="3.7109375" style="37" customWidth="1"/>
    <col min="11" max="11" width="14.5703125" style="37" customWidth="1"/>
    <col min="12" max="16384" width="8.85546875" style="37"/>
  </cols>
  <sheetData>
    <row r="1" spans="1:11">
      <c r="A1" s="92" t="e" vm="1">
        <v>#VALUE!</v>
      </c>
      <c r="B1" s="92"/>
      <c r="C1" s="92"/>
    </row>
    <row r="2" spans="1:11">
      <c r="A2" s="92"/>
      <c r="B2" s="92"/>
      <c r="C2" s="92"/>
    </row>
    <row r="3" spans="1:11">
      <c r="A3" s="92"/>
      <c r="B3" s="92"/>
      <c r="C3" s="92"/>
    </row>
    <row r="5" spans="1:11">
      <c r="B5" s="93" t="s">
        <v>2</v>
      </c>
      <c r="C5" s="93"/>
      <c r="D5" s="93"/>
      <c r="E5" s="93"/>
      <c r="F5" s="93"/>
      <c r="G5" s="93"/>
      <c r="H5" s="93"/>
      <c r="I5" s="93"/>
      <c r="K5" s="89">
        <v>1</v>
      </c>
    </row>
    <row r="6" spans="1:11" ht="45">
      <c r="B6" s="93"/>
      <c r="C6" s="93"/>
      <c r="D6" s="93"/>
      <c r="E6" s="93"/>
      <c r="F6" s="93"/>
      <c r="G6" s="93"/>
      <c r="H6" s="93"/>
      <c r="I6" s="93"/>
      <c r="J6" s="43" t="s">
        <v>3</v>
      </c>
      <c r="K6" s="89"/>
    </row>
    <row r="7" spans="1:11">
      <c r="B7" s="93"/>
      <c r="C7" s="93"/>
      <c r="D7" s="93"/>
      <c r="E7" s="93"/>
      <c r="F7" s="93"/>
      <c r="G7" s="93"/>
      <c r="H7" s="93"/>
      <c r="I7" s="93"/>
      <c r="K7" s="89"/>
    </row>
    <row r="8" spans="1:11" ht="8.4499999999999993" customHeight="1">
      <c r="B8" s="93"/>
      <c r="C8" s="93"/>
      <c r="D8" s="93"/>
      <c r="E8" s="93"/>
      <c r="F8" s="93"/>
      <c r="G8" s="93"/>
      <c r="H8" s="93"/>
      <c r="I8" s="93"/>
      <c r="K8" s="89"/>
    </row>
    <row r="11" spans="1:11">
      <c r="C11" s="42"/>
      <c r="D11" s="42"/>
      <c r="G11" s="42" t="s">
        <v>4</v>
      </c>
    </row>
    <row r="12" spans="1:11" ht="33">
      <c r="B12" s="41" t="s">
        <v>5</v>
      </c>
      <c r="C12" s="39"/>
      <c r="D12" s="39"/>
      <c r="H12" s="37" t="s">
        <v>6</v>
      </c>
    </row>
    <row r="13" spans="1:11" ht="33">
      <c r="B13" s="40" t="s">
        <v>7</v>
      </c>
      <c r="C13" s="39"/>
      <c r="D13" s="39"/>
      <c r="H13" s="37" t="s">
        <v>8</v>
      </c>
    </row>
    <row r="14" spans="1:11">
      <c r="H14" s="37" t="s">
        <v>9</v>
      </c>
    </row>
    <row r="15" spans="1:11">
      <c r="B15" s="94" t="s">
        <v>10</v>
      </c>
      <c r="C15" s="95">
        <v>46070</v>
      </c>
      <c r="D15" s="95"/>
      <c r="H15" s="37" t="s">
        <v>11</v>
      </c>
    </row>
    <row r="16" spans="1:11">
      <c r="B16" s="94"/>
      <c r="C16" s="95"/>
      <c r="D16" s="95"/>
      <c r="H16" s="37" t="s">
        <v>12</v>
      </c>
    </row>
    <row r="17" spans="2:8">
      <c r="H17" s="37" t="s">
        <v>13</v>
      </c>
    </row>
    <row r="18" spans="2:8">
      <c r="H18" s="37" t="s">
        <v>14</v>
      </c>
    </row>
    <row r="19" spans="2:8">
      <c r="H19" s="37" t="s">
        <v>15</v>
      </c>
    </row>
    <row r="20" spans="2:8">
      <c r="B20" s="38"/>
    </row>
  </sheetData>
  <mergeCells count="5">
    <mergeCell ref="A1:C3"/>
    <mergeCell ref="B5:I8"/>
    <mergeCell ref="K5:K8"/>
    <mergeCell ref="B15:B16"/>
    <mergeCell ref="C15:D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0"/>
  <sheetViews>
    <sheetView zoomScale="92" workbookViewId="0"/>
  </sheetViews>
  <sheetFormatPr defaultColWidth="8.85546875" defaultRowHeight="14.45"/>
  <sheetData>
    <row r="1" spans="1:3">
      <c r="A1" t="s">
        <v>29</v>
      </c>
      <c r="B1" t="s">
        <v>37</v>
      </c>
      <c r="C1" t="s">
        <v>33</v>
      </c>
    </row>
    <row r="2" spans="1:3">
      <c r="A2" t="s">
        <v>122</v>
      </c>
      <c r="B2" t="s">
        <v>32</v>
      </c>
      <c r="C2" t="s">
        <v>186</v>
      </c>
    </row>
    <row r="3" spans="1:3">
      <c r="A3" t="s">
        <v>109</v>
      </c>
      <c r="B3" t="s">
        <v>187</v>
      </c>
      <c r="C3" t="s">
        <v>188</v>
      </c>
    </row>
    <row r="4" spans="1:3">
      <c r="A4" t="s">
        <v>78</v>
      </c>
      <c r="B4" t="s">
        <v>189</v>
      </c>
      <c r="C4" t="s">
        <v>190</v>
      </c>
    </row>
    <row r="5" spans="1:3">
      <c r="B5" t="s">
        <v>191</v>
      </c>
      <c r="C5" t="s">
        <v>192</v>
      </c>
    </row>
    <row r="6" spans="1:3">
      <c r="B6" t="s">
        <v>193</v>
      </c>
      <c r="C6" t="s">
        <v>194</v>
      </c>
    </row>
    <row r="7" spans="1:3">
      <c r="B7" t="s">
        <v>195</v>
      </c>
      <c r="C7" t="s">
        <v>196</v>
      </c>
    </row>
    <row r="8" spans="1:3">
      <c r="B8" t="s">
        <v>197</v>
      </c>
      <c r="C8" t="s">
        <v>198</v>
      </c>
    </row>
    <row r="9" spans="1:3">
      <c r="B9" t="s">
        <v>199</v>
      </c>
    </row>
    <row r="10" spans="1:3">
      <c r="B10" t="s">
        <v>200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0301A3C7920F8442807AFD056F6C0426" ma:contentTypeVersion="10" ma:contentTypeDescription="Create a new document." ma:contentTypeScope="" ma:versionID="409c151f3a1d5f0a2a33a43a6dc067c5">
  <xsd:schema xmlns:xsd="http://www.w3.org/2001/XMLSchema" xmlns:xs="http://www.w3.org/2001/XMLSchema" xmlns:p="http://schemas.microsoft.com/office/2006/metadata/properties" xmlns:ns3="b0995179-8cb8-4aee-b7fe-80aa9fb44ca8" targetNamespace="http://schemas.microsoft.com/office/2006/metadata/properties" ma:root="true" ma:fieldsID="bec3e221316a284d686c8db41b4eff4b" ns3:_="">
    <xsd:import namespace="b0995179-8cb8-4aee-b7fe-80aa9fb44ca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995179-8cb8-4aee-b7fe-80aa9fb44ca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b0995179-8cb8-4aee-b7fe-80aa9fb44ca8" xsi:nil="true"/>
  </documentManagement>
</p:properties>
</file>

<file path=customXml/itemProps1.xml><?xml version="1.0" encoding="utf-8"?>
<ds:datastoreItem xmlns:ds="http://schemas.openxmlformats.org/officeDocument/2006/customXml" ds:itemID="{B3C6502B-BA1C-4699-85A5-A4FD478107D8}"/>
</file>

<file path=customXml/itemProps2.xml><?xml version="1.0" encoding="utf-8"?>
<ds:datastoreItem xmlns:ds="http://schemas.openxmlformats.org/officeDocument/2006/customXml" ds:itemID="{6451C549-7ECE-4EAD-ABC0-4484A2834B0B}"/>
</file>

<file path=customXml/itemProps3.xml><?xml version="1.0" encoding="utf-8"?>
<ds:datastoreItem xmlns:ds="http://schemas.openxmlformats.org/officeDocument/2006/customXml" ds:itemID="{D33A6158-950C-4191-B764-2D51A924DDC0}"/>
</file>

<file path=customXml/itemProps4.xml><?xml version="1.0" encoding="utf-8"?>
<ds:datastoreItem xmlns:ds="http://schemas.openxmlformats.org/officeDocument/2006/customXml" ds:itemID="{D744A2ED-1E63-4904-B053-1895FD67FAA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2025-09-22T07:20:25Z</dcterms:created>
  <dcterms:modified xsi:type="dcterms:W3CDTF">2026-03-16T20:46:16Z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0x0101000301A3C7920F8442807AFD056F6C0426</vt:lpwstr>
  </property>
</Properties>
</file>