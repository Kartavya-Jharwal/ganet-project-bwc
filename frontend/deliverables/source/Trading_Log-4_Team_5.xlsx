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6"/>
  <workbookPr codeName="ThisWorkbook" defaultThemeVersion="124226"/>
  <mc:AlternateContent xmlns:mc="http://schemas.openxmlformats.org/markup-compatibility/2006">
    <mc:Choice Requires="x15">
      <x15ac:absPath xmlns:x15ac="http://schemas.microsoft.com/office/spreadsheetml/2010/11/ac" url="https://hultstudents-my.sharepoint.com/personal/kjharwal_student_hult_edu/Documents/"/>
    </mc:Choice>
  </mc:AlternateContent>
  <xr:revisionPtr revIDLastSave="0" documentId="8_{D94A6726-2F04-4C19-A442-63FCFC0722F7}" xr6:coauthVersionLast="47" xr6:coauthVersionMax="47" xr10:uidLastSave="{00000000-0000-0000-0000-000000000000}"/>
  <bookViews>
    <workbookView xWindow="-108" yWindow="-108" windowWidth="23256" windowHeight="12456" firstSheet="2" activeTab="2" xr2:uid="{00000000-000D-0000-FFFF-FFFF00000000}"/>
  </bookViews>
  <sheets>
    <sheet name="READ ME" sheetId="4" state="hidden" r:id="rId1"/>
    <sheet name="Cover" sheetId="7" r:id="rId2"/>
    <sheet name="Trading Log" sheetId="10" r:id="rId3"/>
    <sheet name="Trading Log-Past" sheetId="1" r:id="rId4"/>
    <sheet name="Live Data" sheetId="9" r:id="rId5"/>
    <sheet name="Periodic Reflection" sheetId="6" r:id="rId6"/>
    <sheet name="Cover (2)" sheetId="8" state="hidden" r:id="rId7"/>
    <sheet name="VALIDATION_LISTS" sheetId="5" state="hidden" r:id="rId8"/>
  </sheets>
  <definedNames>
    <definedName name="ExternalData_1" localSheetId="5">'Periodic Reflection'!$KJ$418:$KK$420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7" l="1"/>
  <c r="G70" i="10"/>
  <c r="I70" i="10"/>
  <c r="K70" i="10"/>
  <c r="G71" i="10"/>
  <c r="I71" i="10"/>
  <c r="K71" i="10"/>
  <c r="G72" i="10"/>
  <c r="I72" i="10"/>
  <c r="K72" i="10"/>
  <c r="G73" i="10"/>
  <c r="I73" i="10" s="1"/>
  <c r="K73" i="10" s="1"/>
  <c r="G74" i="10"/>
  <c r="I74" i="10" s="1"/>
  <c r="K74" i="10" s="1"/>
  <c r="G75" i="10"/>
  <c r="I75" i="10" s="1"/>
  <c r="K75" i="10" s="1"/>
  <c r="G76" i="10"/>
  <c r="I76" i="10" s="1"/>
  <c r="K76" i="10" s="1"/>
  <c r="G77" i="10"/>
  <c r="I77" i="10" s="1"/>
  <c r="K77" i="10" s="1"/>
  <c r="G78" i="10"/>
  <c r="I78" i="10" s="1"/>
  <c r="K78" i="10" s="1"/>
  <c r="G33" i="10"/>
  <c r="I33" i="10" s="1"/>
  <c r="K33" i="10" s="1"/>
  <c r="I34" i="10"/>
  <c r="K34" i="10"/>
  <c r="I35" i="10"/>
  <c r="K35" i="10"/>
  <c r="I36" i="10"/>
  <c r="K36" i="10"/>
  <c r="I37" i="10"/>
  <c r="K37" i="10"/>
  <c r="I38" i="10"/>
  <c r="K38" i="10" s="1"/>
  <c r="I39" i="10"/>
  <c r="K39" i="10"/>
  <c r="I40" i="10"/>
  <c r="K40" i="10" s="1"/>
  <c r="I41" i="10"/>
  <c r="K41" i="10"/>
  <c r="I42" i="10"/>
  <c r="K42" i="10"/>
  <c r="I43" i="10"/>
  <c r="K43" i="10"/>
  <c r="I44" i="10"/>
  <c r="K44" i="10" s="1"/>
  <c r="I45" i="10"/>
  <c r="K45" i="10"/>
  <c r="I46" i="10"/>
  <c r="K46" i="10" s="1"/>
  <c r="I47" i="10"/>
  <c r="K47" i="10"/>
  <c r="I48" i="10"/>
  <c r="K48" i="10"/>
  <c r="I49" i="10"/>
  <c r="K49" i="10" s="1"/>
  <c r="I50" i="10"/>
  <c r="K50" i="10"/>
  <c r="I51" i="10"/>
  <c r="K51" i="10"/>
  <c r="I52" i="10"/>
  <c r="K52" i="10"/>
  <c r="I53" i="10"/>
  <c r="K53" i="10"/>
  <c r="I54" i="10"/>
  <c r="K54" i="10"/>
  <c r="G79" i="10"/>
  <c r="G81" i="10"/>
  <c r="I81" i="10" s="1"/>
  <c r="K81" i="10" s="1"/>
  <c r="I79" i="10"/>
  <c r="I80" i="10"/>
  <c r="K79" i="10"/>
  <c r="K80" i="10"/>
  <c r="G82" i="10"/>
  <c r="I82" i="10" s="1"/>
  <c r="K82" i="10" s="1"/>
  <c r="G84" i="10"/>
  <c r="I84" i="10" s="1"/>
  <c r="K84" i="10" s="1"/>
  <c r="G83" i="10"/>
  <c r="I83" i="10" s="1"/>
  <c r="K83" i="10" s="1"/>
  <c r="G85" i="10"/>
  <c r="I85" i="10" s="1"/>
  <c r="K85" i="10" s="1"/>
  <c r="I3" i="10"/>
  <c r="O97" i="10"/>
  <c r="D19" i="9" a="1"/>
  <c r="D19" i="9" s="1"/>
  <c r="E19" i="9" a="1"/>
  <c r="E19" i="9" s="1"/>
  <c r="F19" i="9" a="1"/>
  <c r="F19" i="9" s="1"/>
  <c r="G19" i="9" a="1"/>
  <c r="G19" i="9" s="1"/>
  <c r="H19" i="9" a="1"/>
  <c r="H19" i="9" s="1"/>
  <c r="I19" i="9" a="1"/>
  <c r="I19" i="9" s="1"/>
  <c r="J19" i="9" a="1"/>
  <c r="J19" i="9" s="1"/>
  <c r="K19" i="9" a="1"/>
  <c r="K19" i="9" s="1"/>
  <c r="L19" i="9" a="1"/>
  <c r="L19" i="9" s="1"/>
  <c r="M19" i="9" a="1"/>
  <c r="M19" i="9" s="1"/>
  <c r="N19" i="9" a="1"/>
  <c r="N19" i="9" s="1"/>
  <c r="O19" i="9" a="1"/>
  <c r="O19" i="9" s="1"/>
  <c r="P19" i="9" a="1"/>
  <c r="P19" i="9" s="1"/>
  <c r="Q19" i="9" a="1"/>
  <c r="Q19" i="9" s="1"/>
  <c r="R19" i="9" a="1"/>
  <c r="R19" i="9" s="1"/>
  <c r="D20" i="9" a="1"/>
  <c r="D20" i="9" s="1"/>
  <c r="E20" i="9" a="1"/>
  <c r="E20" i="9" s="1"/>
  <c r="F20" i="9" a="1"/>
  <c r="F20" i="9" s="1"/>
  <c r="G20" i="9" a="1"/>
  <c r="G20" i="9" s="1"/>
  <c r="H20" i="9" a="1"/>
  <c r="H20" i="9" s="1"/>
  <c r="I20" i="9" a="1"/>
  <c r="I20" i="9" s="1"/>
  <c r="J20" i="9" a="1"/>
  <c r="J20" i="9" s="1"/>
  <c r="K20" i="9" a="1"/>
  <c r="K20" i="9" s="1"/>
  <c r="L20" i="9" a="1"/>
  <c r="L20" i="9" s="1"/>
  <c r="M20" i="9" a="1"/>
  <c r="M20" i="9" s="1"/>
  <c r="N20" i="9" a="1"/>
  <c r="N20" i="9" s="1"/>
  <c r="O20" i="9" a="1"/>
  <c r="O20" i="9" s="1"/>
  <c r="P20" i="9" a="1"/>
  <c r="P20" i="9" s="1"/>
  <c r="Q20" i="9" a="1"/>
  <c r="Q20" i="9" s="1"/>
  <c r="R20" i="9" a="1"/>
  <c r="R20" i="9" s="1"/>
  <c r="I36" i="1"/>
  <c r="K36" i="1" s="1"/>
  <c r="K68" i="1" s="1"/>
  <c r="O44" i="1"/>
  <c r="R18" i="9" a="1"/>
  <c r="R18" i="9" s="1"/>
  <c r="Q18" i="9" a="1"/>
  <c r="Q18" i="9" s="1"/>
  <c r="P18" i="9" a="1"/>
  <c r="P18" i="9" s="1"/>
  <c r="O18" i="9" a="1"/>
  <c r="O18" i="9" s="1"/>
  <c r="N18" i="9" a="1"/>
  <c r="N18" i="9" s="1"/>
  <c r="M18" i="9" a="1"/>
  <c r="M18" i="9" s="1"/>
  <c r="L18" i="9" a="1"/>
  <c r="L18" i="9" s="1"/>
  <c r="K18" i="9" a="1"/>
  <c r="K18" i="9" s="1"/>
  <c r="J18" i="9" a="1"/>
  <c r="J18" i="9" s="1"/>
  <c r="I18" i="9" a="1"/>
  <c r="I18" i="9" s="1"/>
  <c r="H18" i="9" a="1"/>
  <c r="H18" i="9" s="1"/>
  <c r="G18" i="9" a="1"/>
  <c r="G18" i="9" s="1"/>
  <c r="F18" i="9" a="1"/>
  <c r="F18" i="9" s="1"/>
  <c r="E18" i="9" a="1"/>
  <c r="E18" i="9" s="1"/>
  <c r="D18" i="9" a="1"/>
  <c r="D18" i="9" s="1"/>
  <c r="R17" i="9" a="1"/>
  <c r="R17" i="9" s="1"/>
  <c r="Q17" i="9" a="1"/>
  <c r="Q17" i="9" s="1"/>
  <c r="P17" i="9" a="1"/>
  <c r="P17" i="9" s="1"/>
  <c r="O17" i="9" a="1"/>
  <c r="O17" i="9" s="1"/>
  <c r="N17" i="9" a="1"/>
  <c r="N17" i="9" s="1"/>
  <c r="M17" i="9" a="1"/>
  <c r="M17" i="9" s="1"/>
  <c r="L17" i="9" a="1"/>
  <c r="L17" i="9" s="1"/>
  <c r="K17" i="9" a="1"/>
  <c r="K17" i="9" s="1"/>
  <c r="J17" i="9" a="1"/>
  <c r="J17" i="9" s="1"/>
  <c r="I17" i="9" a="1"/>
  <c r="I17" i="9" s="1"/>
  <c r="H17" i="9" a="1"/>
  <c r="H17" i="9" s="1"/>
  <c r="G17" i="9" a="1"/>
  <c r="G17" i="9" s="1"/>
  <c r="F17" i="9" a="1"/>
  <c r="F17" i="9" s="1"/>
  <c r="E17" i="9" a="1"/>
  <c r="E17" i="9" s="1"/>
  <c r="D17" i="9" a="1"/>
  <c r="D17" i="9" s="1"/>
  <c r="R16" i="9" a="1"/>
  <c r="R16" i="9" s="1"/>
  <c r="Q16" i="9" a="1"/>
  <c r="Q16" i="9" s="1"/>
  <c r="P16" i="9" a="1"/>
  <c r="P16" i="9" s="1"/>
  <c r="O16" i="9" a="1"/>
  <c r="O16" i="9" s="1"/>
  <c r="N16" i="9" a="1"/>
  <c r="N16" i="9" s="1"/>
  <c r="M16" i="9" a="1"/>
  <c r="M16" i="9" s="1"/>
  <c r="L16" i="9" a="1"/>
  <c r="L16" i="9" s="1"/>
  <c r="K16" i="9" a="1"/>
  <c r="K16" i="9" s="1"/>
  <c r="J16" i="9" a="1"/>
  <c r="J16" i="9" s="1"/>
  <c r="I16" i="9" a="1"/>
  <c r="I16" i="9" s="1"/>
  <c r="H16" i="9" a="1"/>
  <c r="H16" i="9" s="1"/>
  <c r="G16" i="9" a="1"/>
  <c r="G16" i="9" s="1"/>
  <c r="F16" i="9" a="1"/>
  <c r="F16" i="9" s="1"/>
  <c r="E16" i="9" a="1"/>
  <c r="E16" i="9" s="1"/>
  <c r="D16" i="9" a="1"/>
  <c r="D16" i="9" s="1"/>
  <c r="R15" i="9" a="1"/>
  <c r="R15" i="9" s="1"/>
  <c r="Q15" i="9" a="1"/>
  <c r="Q15" i="9" s="1"/>
  <c r="P15" i="9" a="1"/>
  <c r="P15" i="9" s="1"/>
  <c r="O15" i="9" a="1"/>
  <c r="O15" i="9" s="1"/>
  <c r="N15" i="9" a="1"/>
  <c r="N15" i="9" s="1"/>
  <c r="M15" i="9" a="1"/>
  <c r="M15" i="9" s="1"/>
  <c r="L15" i="9" a="1"/>
  <c r="L15" i="9" s="1"/>
  <c r="K15" i="9" a="1"/>
  <c r="K15" i="9" s="1"/>
  <c r="J15" i="9" a="1"/>
  <c r="J15" i="9" s="1"/>
  <c r="I15" i="9" a="1"/>
  <c r="I15" i="9" s="1"/>
  <c r="H15" i="9" a="1"/>
  <c r="H15" i="9" s="1"/>
  <c r="G15" i="9" a="1"/>
  <c r="G15" i="9" s="1"/>
  <c r="F15" i="9" a="1"/>
  <c r="F15" i="9" s="1"/>
  <c r="E15" i="9" a="1"/>
  <c r="E15" i="9" s="1"/>
  <c r="D15" i="9" a="1"/>
  <c r="D15" i="9" s="1"/>
  <c r="R14" i="9" a="1"/>
  <c r="R14" i="9" s="1"/>
  <c r="Q14" i="9" a="1"/>
  <c r="Q14" i="9" s="1"/>
  <c r="P14" i="9" a="1"/>
  <c r="P14" i="9" s="1"/>
  <c r="O14" i="9" a="1"/>
  <c r="O14" i="9" s="1"/>
  <c r="N14" i="9" a="1"/>
  <c r="N14" i="9" s="1"/>
  <c r="M14" i="9" a="1"/>
  <c r="M14" i="9" s="1"/>
  <c r="L14" i="9" a="1"/>
  <c r="L14" i="9" s="1"/>
  <c r="K14" i="9" a="1"/>
  <c r="K14" i="9" s="1"/>
  <c r="J14" i="9" a="1"/>
  <c r="J14" i="9" s="1"/>
  <c r="I14" i="9" a="1"/>
  <c r="I14" i="9" s="1"/>
  <c r="H14" i="9" a="1"/>
  <c r="H14" i="9" s="1"/>
  <c r="G14" i="9" a="1"/>
  <c r="G14" i="9" s="1"/>
  <c r="F14" i="9" a="1"/>
  <c r="F14" i="9" s="1"/>
  <c r="E14" i="9" a="1"/>
  <c r="E14" i="9" s="1"/>
  <c r="D14" i="9" a="1"/>
  <c r="D14" i="9" s="1"/>
  <c r="R13" i="9" a="1"/>
  <c r="R13" i="9" s="1"/>
  <c r="Q13" i="9" a="1"/>
  <c r="Q13" i="9" s="1"/>
  <c r="P13" i="9" a="1"/>
  <c r="P13" i="9" s="1"/>
  <c r="O13" i="9" a="1"/>
  <c r="O13" i="9" s="1"/>
  <c r="N13" i="9" a="1"/>
  <c r="N13" i="9" s="1"/>
  <c r="M13" i="9" a="1"/>
  <c r="M13" i="9" s="1"/>
  <c r="L13" i="9" a="1"/>
  <c r="L13" i="9" s="1"/>
  <c r="K13" i="9" a="1"/>
  <c r="K13" i="9" s="1"/>
  <c r="J13" i="9" a="1"/>
  <c r="J13" i="9" s="1"/>
  <c r="I13" i="9" a="1"/>
  <c r="I13" i="9" s="1"/>
  <c r="H13" i="9" a="1"/>
  <c r="H13" i="9" s="1"/>
  <c r="G13" i="9" a="1"/>
  <c r="G13" i="9" s="1"/>
  <c r="F13" i="9" a="1"/>
  <c r="F13" i="9" s="1"/>
  <c r="E13" i="9" a="1"/>
  <c r="E13" i="9" s="1"/>
  <c r="D13" i="9" a="1"/>
  <c r="D13" i="9" s="1"/>
  <c r="R12" i="9" a="1"/>
  <c r="R12" i="9" s="1"/>
  <c r="Q12" i="9" a="1"/>
  <c r="Q12" i="9" s="1"/>
  <c r="P12" i="9" a="1"/>
  <c r="P12" i="9" s="1"/>
  <c r="O12" i="9" a="1"/>
  <c r="O12" i="9" s="1"/>
  <c r="N12" i="9" a="1"/>
  <c r="N12" i="9" s="1"/>
  <c r="M12" i="9" a="1"/>
  <c r="M12" i="9" s="1"/>
  <c r="L12" i="9" a="1"/>
  <c r="L12" i="9" s="1"/>
  <c r="K12" i="9" a="1"/>
  <c r="K12" i="9" s="1"/>
  <c r="J12" i="9" a="1"/>
  <c r="J12" i="9" s="1"/>
  <c r="I12" i="9" a="1"/>
  <c r="I12" i="9" s="1"/>
  <c r="H12" i="9" a="1"/>
  <c r="H12" i="9" s="1"/>
  <c r="G12" i="9" a="1"/>
  <c r="G12" i="9" s="1"/>
  <c r="F12" i="9" a="1"/>
  <c r="F12" i="9" s="1"/>
  <c r="E12" i="9" a="1"/>
  <c r="E12" i="9" s="1"/>
  <c r="D12" i="9" a="1"/>
  <c r="D12" i="9" s="1"/>
  <c r="R11" i="9" a="1"/>
  <c r="R11" i="9" s="1"/>
  <c r="Q11" i="9" a="1"/>
  <c r="Q11" i="9" s="1"/>
  <c r="P11" i="9" a="1"/>
  <c r="P11" i="9" s="1"/>
  <c r="O11" i="9" a="1"/>
  <c r="O11" i="9" s="1"/>
  <c r="N11" i="9" a="1"/>
  <c r="N11" i="9" s="1"/>
  <c r="M11" i="9" a="1"/>
  <c r="M11" i="9" s="1"/>
  <c r="L11" i="9" a="1"/>
  <c r="L11" i="9" s="1"/>
  <c r="K11" i="9" a="1"/>
  <c r="K11" i="9" s="1"/>
  <c r="J11" i="9" a="1"/>
  <c r="J11" i="9" s="1"/>
  <c r="I11" i="9" a="1"/>
  <c r="I11" i="9" s="1"/>
  <c r="H11" i="9" a="1"/>
  <c r="H11" i="9" s="1"/>
  <c r="G11" i="9" a="1"/>
  <c r="G11" i="9" s="1"/>
  <c r="F11" i="9" a="1"/>
  <c r="F11" i="9" s="1"/>
  <c r="E11" i="9" a="1"/>
  <c r="E11" i="9" s="1"/>
  <c r="D11" i="9" a="1"/>
  <c r="D11" i="9" s="1"/>
  <c r="R10" i="9" a="1"/>
  <c r="R10" i="9" s="1"/>
  <c r="Q10" i="9" a="1"/>
  <c r="Q10" i="9" s="1"/>
  <c r="P10" i="9" a="1"/>
  <c r="P10" i="9" s="1"/>
  <c r="O10" i="9" a="1"/>
  <c r="O10" i="9" s="1"/>
  <c r="N10" i="9" a="1"/>
  <c r="N10" i="9" s="1"/>
  <c r="M10" i="9" a="1"/>
  <c r="M10" i="9" s="1"/>
  <c r="L10" i="9" a="1"/>
  <c r="L10" i="9" s="1"/>
  <c r="K10" i="9" a="1"/>
  <c r="K10" i="9" s="1"/>
  <c r="J10" i="9" a="1"/>
  <c r="J10" i="9" s="1"/>
  <c r="I10" i="9" a="1"/>
  <c r="I10" i="9" s="1"/>
  <c r="H10" i="9" a="1"/>
  <c r="H10" i="9" s="1"/>
  <c r="G10" i="9" a="1"/>
  <c r="G10" i="9" s="1"/>
  <c r="F10" i="9" a="1"/>
  <c r="F10" i="9" s="1"/>
  <c r="E10" i="9" a="1"/>
  <c r="E10" i="9" s="1"/>
  <c r="D10" i="9" a="1"/>
  <c r="D10" i="9" s="1"/>
  <c r="R9" i="9" a="1"/>
  <c r="R9" i="9" s="1"/>
  <c r="Q9" i="9" a="1"/>
  <c r="Q9" i="9" s="1"/>
  <c r="P9" i="9" a="1"/>
  <c r="P9" i="9" s="1"/>
  <c r="O9" i="9" a="1"/>
  <c r="O9" i="9" s="1"/>
  <c r="N9" i="9" a="1"/>
  <c r="N9" i="9" s="1"/>
  <c r="M9" i="9" a="1"/>
  <c r="M9" i="9" s="1"/>
  <c r="L9" i="9" a="1"/>
  <c r="L9" i="9" s="1"/>
  <c r="K9" i="9" a="1"/>
  <c r="K9" i="9" s="1"/>
  <c r="J9" i="9" a="1"/>
  <c r="J9" i="9" s="1"/>
  <c r="I9" i="9" a="1"/>
  <c r="I9" i="9" s="1"/>
  <c r="H9" i="9" a="1"/>
  <c r="H9" i="9" s="1"/>
  <c r="G9" i="9" a="1"/>
  <c r="G9" i="9" s="1"/>
  <c r="F9" i="9" a="1"/>
  <c r="F9" i="9" s="1"/>
  <c r="E9" i="9" a="1"/>
  <c r="E9" i="9" s="1"/>
  <c r="D9" i="9" a="1"/>
  <c r="D9" i="9" s="1"/>
  <c r="R8" i="9" a="1"/>
  <c r="R8" i="9" s="1"/>
  <c r="Q8" i="9" a="1"/>
  <c r="Q8" i="9" s="1"/>
  <c r="P8" i="9" a="1"/>
  <c r="P8" i="9" s="1"/>
  <c r="O8" i="9" a="1"/>
  <c r="O8" i="9" s="1"/>
  <c r="N8" i="9" a="1"/>
  <c r="N8" i="9" s="1"/>
  <c r="M8" i="9" a="1"/>
  <c r="M8" i="9" s="1"/>
  <c r="L8" i="9" a="1"/>
  <c r="L8" i="9" s="1"/>
  <c r="K8" i="9" a="1"/>
  <c r="K8" i="9" s="1"/>
  <c r="J8" i="9" a="1"/>
  <c r="J8" i="9" s="1"/>
  <c r="I8" i="9" a="1"/>
  <c r="I8" i="9" s="1"/>
  <c r="H8" i="9" a="1"/>
  <c r="H8" i="9" s="1"/>
  <c r="G8" i="9" a="1"/>
  <c r="G8" i="9" s="1"/>
  <c r="F8" i="9" a="1"/>
  <c r="F8" i="9" s="1"/>
  <c r="E8" i="9" a="1"/>
  <c r="E8" i="9" s="1"/>
  <c r="D8" i="9" a="1"/>
  <c r="D8" i="9" s="1"/>
  <c r="R7" i="9" a="1"/>
  <c r="R7" i="9" s="1"/>
  <c r="Q7" i="9" a="1"/>
  <c r="Q7" i="9" s="1"/>
  <c r="P7" i="9" a="1"/>
  <c r="P7" i="9" s="1"/>
  <c r="O7" i="9" a="1"/>
  <c r="O7" i="9" s="1"/>
  <c r="N7" i="9" a="1"/>
  <c r="N7" i="9" s="1"/>
  <c r="M7" i="9" a="1"/>
  <c r="M7" i="9" s="1"/>
  <c r="L7" i="9" a="1"/>
  <c r="L7" i="9" s="1"/>
  <c r="K7" i="9" a="1"/>
  <c r="K7" i="9" s="1"/>
  <c r="J7" i="9" a="1"/>
  <c r="J7" i="9" s="1"/>
  <c r="I7" i="9" a="1"/>
  <c r="I7" i="9" s="1"/>
  <c r="H7" i="9" a="1"/>
  <c r="H7" i="9" s="1"/>
  <c r="G7" i="9" a="1"/>
  <c r="G7" i="9" s="1"/>
  <c r="F7" i="9" a="1"/>
  <c r="F7" i="9" s="1"/>
  <c r="E7" i="9" a="1"/>
  <c r="E7" i="9" s="1"/>
  <c r="D7" i="9" a="1"/>
  <c r="D7" i="9" s="1"/>
  <c r="R6" i="9" a="1"/>
  <c r="R6" i="9" s="1"/>
  <c r="Q6" i="9" a="1"/>
  <c r="Q6" i="9" s="1"/>
  <c r="P6" i="9" a="1"/>
  <c r="P6" i="9" s="1"/>
  <c r="O6" i="9" a="1"/>
  <c r="O6" i="9" s="1"/>
  <c r="N6" i="9" a="1"/>
  <c r="N6" i="9" s="1"/>
  <c r="M6" i="9" a="1"/>
  <c r="M6" i="9" s="1"/>
  <c r="L6" i="9" a="1"/>
  <c r="L6" i="9" s="1"/>
  <c r="K6" i="9" a="1"/>
  <c r="K6" i="9" s="1"/>
  <c r="J6" i="9" a="1"/>
  <c r="J6" i="9" s="1"/>
  <c r="I6" i="9" a="1"/>
  <c r="I6" i="9" s="1"/>
  <c r="H6" i="9" a="1"/>
  <c r="H6" i="9" s="1"/>
  <c r="G6" i="9" a="1"/>
  <c r="G6" i="9" s="1"/>
  <c r="F6" i="9" a="1"/>
  <c r="F6" i="9" s="1"/>
  <c r="E6" i="9" a="1"/>
  <c r="E6" i="9" s="1"/>
  <c r="D6" i="9" a="1"/>
  <c r="D6" i="9" s="1"/>
  <c r="R5" i="9" a="1"/>
  <c r="R5" i="9" s="1"/>
  <c r="Q5" i="9" a="1"/>
  <c r="Q5" i="9" s="1"/>
  <c r="P5" i="9" a="1"/>
  <c r="P5" i="9" s="1"/>
  <c r="O5" i="9" a="1"/>
  <c r="O5" i="9" s="1"/>
  <c r="N5" i="9" a="1"/>
  <c r="N5" i="9" s="1"/>
  <c r="M5" i="9" a="1"/>
  <c r="M5" i="9" s="1"/>
  <c r="L5" i="9" a="1"/>
  <c r="L5" i="9" s="1"/>
  <c r="K5" i="9" a="1"/>
  <c r="K5" i="9" s="1"/>
  <c r="J5" i="9" a="1"/>
  <c r="J5" i="9" s="1"/>
  <c r="I5" i="9" a="1"/>
  <c r="I5" i="9" s="1"/>
  <c r="H5" i="9" a="1"/>
  <c r="H5" i="9" s="1"/>
  <c r="G5" i="9" a="1"/>
  <c r="G5" i="9" s="1"/>
  <c r="F5" i="9" a="1"/>
  <c r="F5" i="9" s="1"/>
  <c r="E5" i="9" a="1"/>
  <c r="E5" i="9" s="1"/>
  <c r="D5" i="9" a="1"/>
  <c r="D5" i="9" s="1"/>
  <c r="R4" i="9" a="1"/>
  <c r="R4" i="9" s="1"/>
  <c r="Q4" i="9" a="1"/>
  <c r="Q4" i="9" s="1"/>
  <c r="P4" i="9" a="1"/>
  <c r="P4" i="9" s="1"/>
  <c r="O4" i="9" a="1"/>
  <c r="O4" i="9" s="1"/>
  <c r="N4" i="9" a="1"/>
  <c r="N4" i="9" s="1"/>
  <c r="M4" i="9" a="1"/>
  <c r="M4" i="9" s="1"/>
  <c r="L4" i="9" a="1"/>
  <c r="L4" i="9" s="1"/>
  <c r="K4" i="9" a="1"/>
  <c r="K4" i="9" s="1"/>
  <c r="J4" i="9" a="1"/>
  <c r="J4" i="9" s="1"/>
  <c r="I4" i="9" a="1"/>
  <c r="I4" i="9" s="1"/>
  <c r="H4" i="9" a="1"/>
  <c r="H4" i="9" s="1"/>
  <c r="G4" i="9" a="1"/>
  <c r="G4" i="9" s="1"/>
  <c r="F4" i="9" a="1"/>
  <c r="F4" i="9" s="1"/>
  <c r="E4" i="9" a="1"/>
  <c r="E4" i="9" s="1"/>
  <c r="D4" i="9" a="1"/>
  <c r="D4" i="9" s="1"/>
  <c r="R3" i="9" a="1"/>
  <c r="R3" i="9" s="1"/>
  <c r="Q3" i="9" a="1"/>
  <c r="Q3" i="9" s="1"/>
  <c r="P3" i="9" a="1"/>
  <c r="P3" i="9" s="1"/>
  <c r="O3" i="9" a="1"/>
  <c r="O3" i="9" s="1"/>
  <c r="N3" i="9" a="1"/>
  <c r="N3" i="9" s="1"/>
  <c r="M3" i="9" a="1"/>
  <c r="M3" i="9" s="1"/>
  <c r="L3" i="9" a="1"/>
  <c r="L3" i="9" s="1"/>
  <c r="K3" i="9" a="1"/>
  <c r="K3" i="9" s="1"/>
  <c r="J3" i="9" a="1"/>
  <c r="J3" i="9" s="1"/>
  <c r="I3" i="9" a="1"/>
  <c r="I3" i="9" s="1"/>
  <c r="H3" i="9" a="1"/>
  <c r="H3" i="9" s="1"/>
  <c r="G3" i="9" a="1"/>
  <c r="G3" i="9" s="1"/>
  <c r="F3" i="9" a="1"/>
  <c r="F3" i="9" s="1"/>
  <c r="E3" i="9" a="1"/>
  <c r="E3" i="9" s="1"/>
  <c r="D3" i="9" a="1"/>
  <c r="D3" i="9" s="1"/>
  <c r="R2" i="9" a="1"/>
  <c r="R2" i="9" s="1"/>
  <c r="Q2" i="9" a="1"/>
  <c r="Q2" i="9" s="1"/>
  <c r="P2" i="9" a="1"/>
  <c r="P2" i="9" s="1"/>
  <c r="O2" i="9" a="1"/>
  <c r="O2" i="9" s="1"/>
  <c r="N2" i="9" a="1"/>
  <c r="N2" i="9" s="1"/>
  <c r="M2" i="9" a="1"/>
  <c r="M2" i="9" s="1"/>
  <c r="L2" i="9" a="1"/>
  <c r="L2" i="9" s="1"/>
  <c r="K2" i="9" a="1"/>
  <c r="K2" i="9" s="1"/>
  <c r="J2" i="9" a="1"/>
  <c r="J2" i="9" s="1"/>
  <c r="I2" i="9" a="1"/>
  <c r="I2" i="9" s="1"/>
  <c r="H2" i="9" a="1"/>
  <c r="H2" i="9" s="1"/>
  <c r="G2" i="9" a="1"/>
  <c r="G2" i="9" s="1"/>
  <c r="F2" i="9" a="1"/>
  <c r="F2" i="9" s="1"/>
  <c r="E2" i="9" a="1"/>
  <c r="E2" i="9" s="1"/>
  <c r="D2" i="9" a="1"/>
  <c r="D2" i="9" s="1"/>
  <c r="I5" i="1"/>
  <c r="K5" i="1" s="1"/>
  <c r="I6" i="1"/>
  <c r="K6" i="1" s="1"/>
  <c r="I7" i="1"/>
  <c r="K7" i="1" s="1"/>
  <c r="I8" i="1"/>
  <c r="K8" i="1" s="1"/>
  <c r="I9" i="1"/>
  <c r="K9" i="1" s="1"/>
  <c r="I10" i="1"/>
  <c r="K10" i="1" s="1"/>
  <c r="I11" i="1"/>
  <c r="K11" i="1" s="1"/>
  <c r="I12" i="1"/>
  <c r="K12" i="1" s="1"/>
  <c r="I13" i="1"/>
  <c r="K13" i="1" s="1"/>
  <c r="I14" i="1"/>
  <c r="K14" i="1" s="1"/>
  <c r="I15" i="1"/>
  <c r="K15" i="1" s="1"/>
  <c r="I16" i="1"/>
  <c r="K16" i="1" s="1"/>
  <c r="I2" i="1"/>
  <c r="K2" i="1" s="1"/>
  <c r="I3" i="1"/>
  <c r="K3" i="1" s="1"/>
  <c r="I4" i="1"/>
  <c r="K4" i="1" s="1"/>
  <c r="I18" i="1"/>
  <c r="K18" i="1" s="1"/>
  <c r="I19" i="1"/>
  <c r="K19" i="1" s="1"/>
  <c r="I20" i="1"/>
  <c r="K20" i="1" s="1"/>
  <c r="I21" i="1"/>
  <c r="K21" i="1" s="1"/>
  <c r="I22" i="1"/>
  <c r="K22" i="1" s="1"/>
  <c r="I23" i="1"/>
  <c r="K23" i="1" s="1"/>
  <c r="I24" i="1"/>
  <c r="K24" i="1" s="1"/>
  <c r="I25" i="1"/>
  <c r="K25" i="1" s="1"/>
  <c r="I26" i="1"/>
  <c r="K26" i="1"/>
  <c r="I27" i="1"/>
  <c r="K27" i="1" s="1"/>
  <c r="I28" i="1"/>
  <c r="K28" i="1" s="1"/>
  <c r="I29" i="1"/>
  <c r="K29" i="1" s="1"/>
  <c r="I30" i="1"/>
  <c r="K30" i="1" s="1"/>
  <c r="I31" i="1"/>
  <c r="K31" i="1" s="1"/>
  <c r="I32" i="1"/>
  <c r="I33" i="1"/>
  <c r="I34" i="1"/>
  <c r="L34" i="1"/>
  <c r="L33" i="1"/>
  <c r="A4" i="6"/>
  <c r="A3" i="6"/>
  <c r="I86" i="10"/>
  <c r="I66" i="1"/>
  <c r="K3" i="10" l="1"/>
  <c r="K32" i="1"/>
  <c r="K33" i="1"/>
  <c r="K3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EC89A3-A90B-4CD5-BB38-DEBAB1657A8A}" keepAlive="1" name="Query - attachment;filename=PieChart_assetclass_360651" description="Connection to the 'attachment;filename=PieChart_assetclass_360651' query in the workbook." type="5" refreshedVersion="8" background="1" saveData="1">
    <dbPr connection="Provider=Microsoft.Mashup.OleDb.1;Data Source=$Workbook$;Location=&quot;attachment;filename=PieChart_assetclass_360651&quot;;Extended Properties=&quot;&quot;" command="SELECT * FROM [attachment;filename=PieChart_assetclass_36065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0">
    <bk>
      <extLst>
        <ext uri="{3e2802c4-a4d2-4d8b-9148-e3be6c30e623}">
          <xlrd:rvb i="0"/>
        </ext>
      </extLst>
    </bk>
    <bk>
      <extLst>
        <ext uri="{3e2802c4-a4d2-4d8b-9148-e3be6c30e623}">
          <xlrd:rvb i="3"/>
        </ext>
      </extLst>
    </bk>
    <bk>
      <extLst>
        <ext uri="{3e2802c4-a4d2-4d8b-9148-e3be6c30e623}">
          <xlrd:rvb i="6"/>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9"/>
        </ext>
      </extLst>
    </bk>
    <bk>
      <extLst>
        <ext uri="{3e2802c4-a4d2-4d8b-9148-e3be6c30e623}">
          <xlrd:rvb i="52"/>
        </ext>
      </extLst>
    </bk>
    <bk>
      <extLst>
        <ext uri="{3e2802c4-a4d2-4d8b-9148-e3be6c30e623}">
          <xlrd:rvb i="55"/>
        </ext>
      </extLst>
    </bk>
    <bk>
      <extLst>
        <ext uri="{3e2802c4-a4d2-4d8b-9148-e3be6c30e623}">
          <xlrd:rvb i="58"/>
        </ext>
      </extLst>
    </bk>
    <bk>
      <extLst>
        <ext uri="{3e2802c4-a4d2-4d8b-9148-e3be6c30e623}">
          <xlrd:rvb i="61"/>
        </ext>
      </extLst>
    </bk>
  </futureMetadata>
  <futureMetadata name="XLDAPR" count="1">
    <bk>
      <extLst>
        <ext uri="{bdbb8cdc-fa1e-496e-a857-3c3f30c029c3}">
          <xda:dynamicArrayProperties fDynamic="1" fCollapsed="0"/>
        </ext>
      </extLst>
    </bk>
  </futureMetadata>
  <cellMetadata count="1">
    <bk>
      <rc t="2" v="0"/>
    </bk>
  </cell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<sst xmlns="http://schemas.openxmlformats.org/spreadsheetml/2006/main" count="932" uniqueCount="255">
  <si>
    <t>Instructions</t>
  </si>
  <si>
    <t xml:space="preserve">Trading Log Template (Action-Based)
How to use:
1) Record EVERY action as a new row on the 'Trading Log' sheet:
   • Open: starting a new position
   • Adjust: changing size (Quantity is the change; positive to add, negative to reduce)
   • Close: closing part or all of a position (Quantity = number of units closed)
   • No Action: use once per reporting period if you made no changes; explain why
2) Keep 'Position After Trade' updated so we can see the running position size.
3) Provide a brief reason in the last column (or for 'No Action', a short rationale for holding).
4) Add longer commentary in the 'Explanations' sheet at the end of each reporting period.
Notes:
• 'Gross Trade Value' and 'Net Trade Value' can be formula-based (Qty*Price minus fees) or entered manually.
• Use the drop-downs for 'Action', 'Type', and 'Trade Currency'.
• We are NOT assessing portfolio performance here; the goal is to track decisions and rationale.
• Delete the 'Example (delete)' sheet before submission.
</t>
  </si>
  <si>
    <t>Trading Log</t>
  </si>
  <si>
    <t>-</t>
  </si>
  <si>
    <t>Team 5 Lon 2</t>
  </si>
  <si>
    <t>The Investment Challenge - CHL-0200</t>
  </si>
  <si>
    <t>Abdul Rafay Malik</t>
  </si>
  <si>
    <t>Prof. Daniela Neiderer</t>
  </si>
  <si>
    <t>Aliah Muhammad Asharaf</t>
  </si>
  <si>
    <t>Azriel Fernandes</t>
  </si>
  <si>
    <t>Date:</t>
  </si>
  <si>
    <t>Devarya Shah</t>
  </si>
  <si>
    <t>Kartavya Jharwal</t>
  </si>
  <si>
    <t>Nandini Prakash Rangani</t>
  </si>
  <si>
    <t>Pedro Junqueira</t>
  </si>
  <si>
    <t>Sayhan Mushrif</t>
  </si>
  <si>
    <t>Date (YYYY-MM-DD)</t>
  </si>
  <si>
    <t>Action (Open / Close / Adjust / No Action)</t>
  </si>
  <si>
    <t>Ticker</t>
  </si>
  <si>
    <t>Asset Name</t>
  </si>
  <si>
    <t>Type (Stock, ETF, Bond, FX, etc.)</t>
  </si>
  <si>
    <t>Quantity (positive number)</t>
  </si>
  <si>
    <t>Price per Unit</t>
  </si>
  <si>
    <t>Trade Currency</t>
  </si>
  <si>
    <t>Gross Trade Value (=Qty*Price)</t>
  </si>
  <si>
    <t>Fees / Commission</t>
  </si>
  <si>
    <t>Net Trade Value</t>
  </si>
  <si>
    <t>Position After Trade (units)</t>
  </si>
  <si>
    <t>Brief Reason (or reason for no change)</t>
  </si>
  <si>
    <t>No Action</t>
  </si>
  <si>
    <t>SPY</t>
  </si>
  <si>
    <t>SPDR S&amp;P 500 ETF Trust</t>
  </si>
  <si>
    <t>ETF</t>
  </si>
  <si>
    <t>USD</t>
  </si>
  <si>
    <t>Core benchmark exposure. Portfolio outperforming S&amp;P this period. Thesis unchanged; no stop-loss on index. Hold.</t>
  </si>
  <si>
    <t>XLP</t>
  </si>
  <si>
    <t>Consumer Staples Select Sector SPDR</t>
  </si>
  <si>
    <t>Consumer staples ETF. Minor unrealized loss within normal range. Defensive allocation working as intended. Hold.</t>
  </si>
  <si>
    <t>JNJ</t>
  </si>
  <si>
    <t>Johnson &amp; Johnson</t>
  </si>
  <si>
    <t>Stock</t>
  </si>
  <si>
    <t>Healthcare defensive. Stable earnings and dividend profile unchanged. Hold.</t>
  </si>
  <si>
    <t>PG</t>
  </si>
  <si>
    <t>Procter &amp; Gamble Co.</t>
  </si>
  <si>
    <t>FMCG defensive. Strong global brands and resilient demand. Hold.</t>
  </si>
  <si>
    <t>WMT</t>
  </si>
  <si>
    <t>Walmart Inc.</t>
  </si>
  <si>
    <t>Down about 5%. Retail under pressure, but defensive thesis intact. Stop-loss placed at $118. Monitor.</t>
  </si>
  <si>
    <t>XLU</t>
  </si>
  <si>
    <t>Utilities Select Sector SPDR</t>
  </si>
  <si>
    <t>Utilities ETF. Low‑beta defensive working during volatility. Hold.</t>
  </si>
  <si>
    <t>TSM</t>
  </si>
  <si>
    <t>Taiwan Semiconductor Manufacturing – ADR</t>
  </si>
  <si>
    <t>AI foundry thesis intact and strengthening. Guidance unchanged. Hold.</t>
  </si>
  <si>
    <t>Adjust</t>
  </si>
  <si>
    <t>MU</t>
  </si>
  <si>
    <t>Micron Technology Inc.</t>
  </si>
  <si>
    <t>Trailing stop-loss on MU triggered; trimmed 95 shares after strong run, kept 15‑share residual for AI memory thesis.</t>
  </si>
  <si>
    <t>PLTR</t>
  </si>
  <si>
    <t>Palantir Technologies Inc.</t>
  </si>
  <si>
    <t>AI defense software thesis intact. Volatility within acceptable range. Hold.</t>
  </si>
  <si>
    <t>JPM</t>
  </si>
  <si>
    <t>JPMorgan Chase &amp; Co.</t>
  </si>
  <si>
    <t>Slight drawdown on rate repricing. Banking fundamentals unchanged. Hold (before later exit).</t>
  </si>
  <si>
    <t>AMZN</t>
  </si>
  <si>
    <t>Amazon.com Inc.</t>
  </si>
  <si>
    <t>AWS cloud and e‑commerce thesis intact; AI workloads support demand. Hold.</t>
  </si>
  <si>
    <t>GOOGL</t>
  </si>
  <si>
    <t>Alphabet Inc – Class A</t>
  </si>
  <si>
    <t>Big tech AI infrastructure thesis intact. Gemini and search dominance support. Trailing stop at 7%. Hold.</t>
  </si>
  <si>
    <t>GE</t>
  </si>
  <si>
    <t>GE Aerospace</t>
  </si>
  <si>
    <t>Industrial/aerospace thesis intact. Up ~3%. Trailing stop at 5% in place prior to trigger. Hold at check‑in.</t>
  </si>
  <si>
    <t>IONQ</t>
  </si>
  <si>
    <t>IonQ Inc</t>
  </si>
  <si>
    <t>Speculative quantum computing, sized ~2.7% of portfolio. Long‑term thesis; short‑term volatility expected. Hold.</t>
  </si>
  <si>
    <t>XLE</t>
  </si>
  <si>
    <t>Energy Select Sector SPDR</t>
  </si>
  <si>
    <t>Energy ETF. Geopolitical risk premium from US–Iran tensions supports near‑term oil prices. Tactical position.</t>
  </si>
  <si>
    <t>XOM</t>
  </si>
  <si>
    <t>Exxon Mobil Corp</t>
  </si>
  <si>
    <t>Integrated oil major. Geopolitical hedge benefiting from elevated crude and strong margins. Hold.</t>
  </si>
  <si>
    <t>Close</t>
  </si>
  <si>
    <t>Trailing stop-loss hit on GE later that day; full position closed to protect gains and free capital.</t>
  </si>
  <si>
    <t>LMT</t>
  </si>
  <si>
    <t>Lockheed Martin Corp.</t>
  </si>
  <si>
    <t>Trailing stop on LMT triggered; locked in profit before reassessing entry.</t>
  </si>
  <si>
    <t>Dividend payment received on GOOGL; no change to position size or thesis.</t>
  </si>
  <si>
    <t>Closed WMT after sustained underperformance; capital reallocated to higher‑conviction retail (TGT).</t>
  </si>
  <si>
    <t>Exited JPM as financials lag and rate‑cut expectations shift; redeploying capital into other sectors.</t>
  </si>
  <si>
    <t>Halved XLP to reduce over‑weight in staples while keeping a defensive core.</t>
  </si>
  <si>
    <t>Open</t>
  </si>
  <si>
    <t>Re‑entered LMT after stop; defense backlog and spending thesis unchanged, so rebuilt position.</t>
  </si>
  <si>
    <t>TGT</t>
  </si>
  <si>
    <t>Target Corp</t>
  </si>
  <si>
    <t>Initiated TGT as replacement for WMT, leaning into turnaround and earnings momentum.</t>
  </si>
  <si>
    <t>ITA</t>
  </si>
  <si>
    <t>iShares U.S. Aerospace &amp; Defense ETF</t>
  </si>
  <si>
    <t>Added broad defense ETF around LMT to diversify single‑name risk.</t>
  </si>
  <si>
    <t>NBIS</t>
  </si>
  <si>
    <t>Nebius Group N.V. – Class A</t>
  </si>
  <si>
    <t>Small speculative AI‑infrastructure satellite after building core energy/defense positions.</t>
  </si>
  <si>
    <t>NVDA</t>
  </si>
  <si>
    <t>NVIDIA Corp</t>
  </si>
  <si>
    <t>Built NVDA position ahead of GTC conference as main AI catalyst for the portfolio.</t>
  </si>
  <si>
    <t>ORCL</t>
  </si>
  <si>
    <t>Oracle Corp.</t>
  </si>
  <si>
    <t>Entered Oracle after strong earnings and cloud growth; value‑tilted AI infrastructure exposure.</t>
  </si>
  <si>
    <t>IBB</t>
  </si>
  <si>
    <t>iShares Biotechnology ETF</t>
  </si>
  <si>
    <t>Added diversified biotech exposure to capture sector strength and ongoing M&amp;A.</t>
  </si>
  <si>
    <t>SIEGY</t>
  </si>
  <si>
    <t>Siemens AG – ADR</t>
  </si>
  <si>
    <t>European industrial core with strong electrification/automation order book, adding non‑US energy‑transition exposure beyond XOM/XLE.</t>
  </si>
  <si>
    <t>24/03/2026</t>
  </si>
  <si>
    <t>Core benchmark exposure; no rebalance as portfolio maintaint to outperrform without excess risk concentration</t>
  </si>
  <si>
    <t xml:space="preserve">Defensive allocation maintained after prior reduction; it helps maintin stabillity in our portfolio against external macro volatility </t>
  </si>
  <si>
    <t>Healthcare defensive with consistent earnign and dividend; there are no catalysts to justify realloction</t>
  </si>
  <si>
    <t>Strong pricing power and has a lot of demadn; remains a low-volatiltiy consumer staple anchor</t>
  </si>
  <si>
    <t xml:space="preserve">The utilities ETF is held as a low-beta hedge against equity market drawdowns and rate uncertainity </t>
  </si>
  <si>
    <t>AI supply-chain leader; maintained demand from hyperscalers back the long-term growth thesis</t>
  </si>
  <si>
    <t xml:space="preserve">Small position reatained post-trim; keeps exposure to cyclical AI memory upside wothout adding risk </t>
  </si>
  <si>
    <t>AI and defense software remains strong; the volatility is currently within the acceptable tange and there are no adjustments needed</t>
  </si>
  <si>
    <t>AWS and AI-driven cloud growht maintains to support revenue exapnasion; long term thesis intact</t>
  </si>
  <si>
    <t>High-risk specualtive position maintained through small allocation; long-term optionality outweighs short-term volatility</t>
  </si>
  <si>
    <t xml:space="preserve">Retained due to tactical hedge against geopolitical risks and increased oil price envrionment </t>
  </si>
  <si>
    <t>Strong cash flow and oil price backs continued exposure as energy hedge</t>
  </si>
  <si>
    <t>AI intergration across cloud support and search supports earnings outlook; the position is held with risk controls in place</t>
  </si>
  <si>
    <t>Defense spending visibility and strong backlog support continuted to hols after re-entry. Hold.</t>
  </si>
  <si>
    <t xml:space="preserve">Monitoring recovert in margins and operations. No adjustment yet. Hold </t>
  </si>
  <si>
    <t>Broad exposure to defense sector. Reduces single-stock risk. Hold</t>
  </si>
  <si>
    <t>High-risk AI infrastructure play with strong upside potential.</t>
  </si>
  <si>
    <t>Market leader in AI with sustained demand and growth.</t>
  </si>
  <si>
    <t>Well-positioned for growth through enterprise AI and cloud.</t>
  </si>
  <si>
    <t>Diversified biotech exposure benefiting from innovation and M&amp;A.</t>
  </si>
  <si>
    <t>European industrial exposure with upside from electrification trends.</t>
  </si>
  <si>
    <t>-----</t>
  </si>
  <si>
    <t>EMEREGENCY</t>
  </si>
  <si>
    <t>TRIAGE</t>
  </si>
  <si>
    <t>MODE</t>
  </si>
  <si>
    <t>Emergency charter override: liquidating core index position as market selloff accelerates. Reallocating to inverse ETFs and safe havens.</t>
  </si>
  <si>
    <t>Execution error: Misclick resulted in additional 230 shares purchased instead of sell. Corrective sell executed immediately after.</t>
  </si>
  <si>
    <t>Corrective full close of TSM. Geopolitical panic and Nasdaq correction dragging semiconductors down regardless of fundamental guidance.</t>
  </si>
  <si>
    <t>Execution error: Misclick resulted in additional 610 shares purchased instead of sell. Corrective sell executed immediately after.</t>
  </si>
  <si>
    <t>Corrective full close of TGT. Liquidating retail exposure; broad market inflation fears render consumer discretionary vulnerable.</t>
  </si>
  <si>
    <t>Closing defensive position; in a severe downturn, defensives bleed too slowly to provide alpha needed in final 12 days.</t>
  </si>
  <si>
    <t>Emergency cut: speculative quantum position down 21%. Unprofitable tech must be liquidated in risk-off environment.</t>
  </si>
  <si>
    <t>Cutting speculative AI satellite; down over 27%. High-beta tech is untenable during broader tech correction.</t>
  </si>
  <si>
    <t>Closing healthcare defensive to free capital. Dividend yield insufficient to offset rapid market drawdown in 12-day window.</t>
  </si>
  <si>
    <t>CENX</t>
  </si>
  <si>
    <t>Century Aluminum Co.</t>
  </si>
  <si>
    <t>Momentum play: aluminum stocks surging on Middle East supply shock. Pure-play exposure to geopolitically-driven supply crunch.</t>
  </si>
  <si>
    <t>AA</t>
  </si>
  <si>
    <t>Alcoa Corp.</t>
  </si>
  <si>
    <t>Companion trade to CENX. Alcoa up ~7% today on aluminum supply disruption. Largest domestic aluminum producer with direct exposure.</t>
  </si>
  <si>
    <t>GLD</t>
  </si>
  <si>
    <t>SPDR Gold Trust</t>
  </si>
  <si>
    <t>Capital flight safe haven. Gold is the primary momentum asset as equity market bleeds and war/inflation fears rise.</t>
  </si>
  <si>
    <t>SH</t>
  </si>
  <si>
    <t>ProShares Short S&amp;P500</t>
  </si>
  <si>
    <t>Inverse S&amp;P500 hedge. Generates positive returns as benchmark continues to correct; direct offset to remaining long exposure.</t>
  </si>
  <si>
    <t>PSQ</t>
  </si>
  <si>
    <t>ProShares Short QQQ</t>
  </si>
  <si>
    <t>Inverse Nasdaq hedge. Nasdaq in confirmed correction; largest single bet as tech is the epicenter of the selloff.</t>
  </si>
  <si>
    <t>Broad exposure to the U.S. market. Core long-term holding.</t>
  </si>
  <si>
    <t>Lockhead Martin Corp</t>
  </si>
  <si>
    <t>Defense company with stable government contracts.</t>
  </si>
  <si>
    <t>Consumer staples ETF. Defensive and stable.</t>
  </si>
  <si>
    <t>Healthcare stock. Reliable and defensive.</t>
  </si>
  <si>
    <t>Proctor &amp; Gamble Co.</t>
  </si>
  <si>
    <t>Strong global brands. Steady performance.</t>
  </si>
  <si>
    <t>Large retailer. Performs well even in slow economies.</t>
  </si>
  <si>
    <t>Utilities ETF. Low risk and stable returns.</t>
  </si>
  <si>
    <t>Taiwan Semiconductor Manufacturing - ADR</t>
  </si>
  <si>
    <t>AI chip foundry, 30% revenue growth guidance 2026</t>
  </si>
  <si>
    <t>HBM memory for AI data centers, fully booked 2026</t>
  </si>
  <si>
    <t>Palantir Technologies Inc</t>
  </si>
  <si>
    <t>AI software platform, government defense contracts</t>
  </si>
  <si>
    <t>Banking sector exposure, diversified financials</t>
  </si>
  <si>
    <t>E-commerce leader plus AWS cloud infrastructure</t>
  </si>
  <si>
    <t>Alphabet Inc - Class A</t>
  </si>
  <si>
    <t>Big tech AI infrastructure, search and cloud diversification</t>
  </si>
  <si>
    <t>Industrial conglomerate, aerospace and energy exposure</t>
  </si>
  <si>
    <t>Quantum computing infrastructure, speculative AI future tech</t>
  </si>
  <si>
    <t>Core benchmark exposure. Portfolio outperforming S&amp;P by +2.00% this period. No thesis change. Stop-loss not required on index position. Hold.</t>
  </si>
  <si>
    <t>Defense spending thesis intact. Up +2.70% since entry. Rising global military budgets support continued upside. Trailing stop placed at 5% to protect gains. Hold.</t>
  </si>
  <si>
    <t>Consumer staples ETF. Minor unrealized loss within normal volatility range. Defensive allocation working as intended during market turbulence. Hold.</t>
  </si>
  <si>
    <t>Healthcare defensive. Stable earnings and dividend profile unchanged. Thesis intact. Hold.</t>
  </si>
  <si>
    <t>FMCG defensive. Strong global brand portfolio and resilient consumer demand thesis confirmed. Hold.</t>
  </si>
  <si>
    <t>Down -5.37%. Retail sector under pressure from consumer spending data. Fundamental thesis (defensive retailer in slow economy) unchanged. Stop-loss placed at $118 to limit further downside. Monitor closely.</t>
  </si>
  <si>
    <t>Utilities ETF. Up +2.71%. Low-beta defensive working as intended in volatile market week. Thesis intact. Hold.</t>
  </si>
  <si>
    <t>AI foundry thesis intact and strengthening. Up +1.68%. 2026 capex guidance and revenue growth forecast unchanged. Hold.</t>
  </si>
  <si>
    <t>HBM memory demand thesis intact. Up +2.97%. AI data center memory demand fully booked 2026. Trailing stop placed at 7% to protect gains. Hold.</t>
  </si>
  <si>
    <t>AI Defense software platform thesis intact. Minor unrealized within acceptable range. Hold.</t>
  </si>
  <si>
    <t>Down -2.98% on rate expectation repricing. Banking fundamentals unchanged. Thesis intact. Hold.</t>
  </si>
  <si>
    <t>AWS cloud and e-commerce thesis intact. Strong cloud infrastructure demand from AI workloads. Hold.</t>
  </si>
  <si>
    <t>Big tech AI infrastructure thesis intact.  Gemini AI momentum and search dominance boost. Trailing stop placed at 7%. Hold.</t>
  </si>
  <si>
    <t>Industrial/aerospace thesis intact. Up +2.90%. Strong commercial aviation and energy infrastructure demand. Trailing stop placed at 5%. Hold.</t>
  </si>
  <si>
    <t>Down -8.39%. Speculative quantum computing position, sized at 2.7% of total portfolio. Long-term thesis unchanged; short-term volatility expected for early-stage tech. Stop-loss placed at $25. Hold.</t>
  </si>
  <si>
    <t>SSgA Active Trust - The Energy Select Sector SPDR</t>
  </si>
  <si>
    <t>Energy sector ETF. Geopolitical risk premium from US-Iran standoff supports near-term oil price. Tactical position</t>
  </si>
  <si>
    <t>Integrated oil major. Geopolitical hedging. . Benefits from elevated crude oil and strong margins.</t>
  </si>
  <si>
    <t>Name</t>
  </si>
  <si>
    <t>Exchange Abbreviation</t>
  </si>
  <si>
    <t>Instrument Type</t>
  </si>
  <si>
    <t>Last trade time</t>
  </si>
  <si>
    <t>Volume</t>
  </si>
  <si>
    <t>Beta</t>
  </si>
  <si>
    <t>Price</t>
  </si>
  <si>
    <t>Change</t>
  </si>
  <si>
    <t>Change (%)</t>
  </si>
  <si>
    <t>High</t>
  </si>
  <si>
    <t>Low</t>
  </si>
  <si>
    <t>52 Week High</t>
  </si>
  <si>
    <t>52 week low</t>
  </si>
  <si>
    <t>Previous Close</t>
  </si>
  <si>
    <t>Market Cap</t>
  </si>
  <si>
    <t>Reporting Period Start 
(YYYY-MM-DD)</t>
  </si>
  <si>
    <t>Reporting Period End 
(YYYY-MM-DD)</t>
  </si>
  <si>
    <t>Strategy Summary (4–8 lines)</t>
  </si>
  <si>
    <t>Top 3 Decisions &amp; Why (bullets)</t>
  </si>
  <si>
    <t>What You Learned / Next Steps</t>
  </si>
  <si>
    <t>Momentum with risk caps per position (max 3% of portfolio). Focus on large-cap tech breakouts and macro-sensitive names ahead of CPI.</t>
  </si>
  <si>
    <t>Made SPY the foundation to reduce single-stock risk
Added LMT for stable defense-sector exposure
Overweighted defensive sectors to protect against downturns</t>
  </si>
  <si>
    <t>Maintain defensive positioning while monitoring sector concentration risk; avoid over-allocating to low-volatility names. Next: consider adding selective growth or international exposure and rebalance if defensive weight becomes excessive.</t>
  </si>
  <si>
    <t>The portfolio's moderate-risk, fundamentals-first mandate was maintained throughout, with no position exceeding 9% of total capital and no sector breaching the 25% concentration limit. </t>
  </si>
  <si>
    <t xml:space="preserve">Short-term geopolitical spike opened on XLE and XOM
Held all positions through market decline
Placed protective stops on WMT, IONQ (stop-loss) and LMT, GE, MU, GOOGL (trailing stops) </t>
  </si>
  <si>
    <t>Learned:
Defensive sector rotation (staples, utilities) behaves as expected during broad market selloffs, validating the barbell construction
Position sizing matters more than individual stock selection — WMT and IONQ caused noise but couldn't meaningfully damage the portfolio because neither exceeded 8% of capital
Next Steps:
Monitor WMT and IONQ weekly; if either breaches its stop-loss, log the close and reallocate proceeds to a higher-conviction position 
Log 3 check-in: reassess JPM given Fed rate trajectory and whether financials sector thesis remains intact 
Consider initiating a small position to bring the portfolio closer to the 60/40 charter target if equity volatility increases</t>
  </si>
  <si>
    <t>The first two weeks of March marked a deliberate gear shift. Capital preservation gave way to high-conviction growth plays after trailing stops did their job on GE, MU, and LMT during that early-month turbulence. The freed-up cash went straight into the "AI Power &amp; Infra" thesis, concentrated in NVDA, ORCL, and NBIS. Defense didn't get abandoned, though. LMT came back into the portfolio alongside ITA to keep the geopolitical hedge intact. On the retail side, WMT wasn't pulling its weight relative to the sector, so it got swapped for TGT after solid earnings data confirmed the thesis.</t>
  </si>
  <si>
    <t>The WMT exit was overdue. The position was dragging behind the broader consumer discretionary space, and TGT (610 units) offered a cleaner entry with better near-term momentum. Simple upgrade in quality, nothing exotic.
The real alpha play was channeling stopped-out capital into NVDA and ORCL right before the GTC Conference window. Timing mattered here. The AI infrastructure narrative had a concrete catalyst on the calendar, and sitting in cash while that played out would have been a waste of the rotation opportunity.
LMT's re-entry deserves its own note. The trailing stop that triggered wasn't a conviction call; it was mechanical. The original macro thesis on rising global military budgets hadn't changed one bit. So the correction was manual: re-enter LMT, add ITA for broader defense diversification, and restore the portfolio's intended structure.</t>
  </si>
  <si>
    <t>Learned
Trailing stops worked exactly as designed on GE and MU. They locked in gains during volatility. But the LMT situation exposed a gap: when a stop fires on a position you still believe in fundamentally, you need a re-entry protocol, not just a "wait and see" reflex. That's a process improvement I'm codifying going forward. The Gemini-driven tech selloff also reinforced something I already suspected; high-beta names need wider stop buffers. Tight stops on volatile positions just generate unnecessary churn.
Next Steps
NVDA and ORCL are the immediate watchlist. Post-conference price action will dictate whether stops get tightened or left loose. SIEGY is on the radar as a potential European industrial hedge, worth a deeper look in the next cycle. And IBB's recent leadership in biotech raises a real question: does it merit scaling from a satellite position into a core allocation? That answer depends on whether the momentum sustains through April.</t>
  </si>
  <si>
    <t>EMERGENCY TRIAGE THESIS CHANGE</t>
  </si>
  <si>
    <t>With 12 trading days remaining and the portfolio sitting last in class rankings, the team invoked the emergency clause in Section 5 of the Team Charter to override the standard 60% equity / moderate-risk mandate. The market entered a confirmed correction: the S&amp;P 500 is down 8.82% YTD, the Nasdaq is in correction territory, and geopolitical escalation (US-Iran, war deadline fears) is driving a broad risk-off environment. 
The team executed a full liquidation of underperforming and thesis-broken longs (SPY, TSM, TGT, PG, IONQ, NBIS, JNJ) and redeployed ~$495,000 into an offensive turnaround allocation: PSQ and SH as inverse index hedges to profit directly from the ongoing correction, GLD as a safe-haven capital flight trade, and AA and CENX as a geopolitical momentum trade following Middle East supply disruptions to aluminum markets. Two execution errors (misclicks on TSM and TGT) were identified and corrected immediately within the same session and documented transparently in the log.</t>
  </si>
  <si>
    <r>
      <rPr>
        <b/>
        <sz val="12"/>
        <color theme="1"/>
        <rFont val="Bai Jamjuree"/>
        <family val="2"/>
        <charset val="222"/>
      </rPr>
      <t>1. Emergency charter override and full liquidation of longs:</t>
    </r>
    <r>
      <rPr>
        <b/>
        <sz val="11"/>
        <color theme="1"/>
        <rFont val="Arial"/>
        <family val="2"/>
      </rPr>
      <t xml:space="preserve"> </t>
    </r>
    <r>
      <rPr>
        <sz val="11"/>
        <color theme="1"/>
        <rFont val="Arial"/>
        <family val="2"/>
      </rPr>
      <t xml:space="preserve">The thesis for holding SPY, TSM, TGT, PG, IONQ, NBIS and JNJ broke under a confirmed market correction. Holding them was optimising for "hope the market recovers" rather than trading the actual environment. Liquidating freed $495K in capital to deploy offensively. 
</t>
    </r>
    <r>
      <rPr>
        <b/>
        <sz val="11"/>
        <color theme="1"/>
        <rFont val="Arial"/>
        <family val="2"/>
      </rPr>
      <t>2. PSQ + SH inverse ETF allocation ($247K combined):</t>
    </r>
    <r>
      <rPr>
        <sz val="11"/>
        <color theme="1"/>
        <rFont val="Arial"/>
        <family val="2"/>
      </rPr>
      <t xml:space="preserve"> The Nasdaq is in correction and the S&amp;P is down ~9%. Buying inverse ETFs converts further market decline into direct positive portfolio returns, he only rational strategy when the trend is unambiguously down with 12 days left.
 </t>
    </r>
    <r>
      <rPr>
        <b/>
        <sz val="11"/>
        <color theme="1"/>
        <rFont val="Arial"/>
        <family val="2"/>
      </rPr>
      <t>3. AA + CENX aluminum trade ($123K combined):</t>
    </r>
    <r>
      <rPr>
        <sz val="11"/>
        <color theme="1"/>
        <rFont val="Arial"/>
        <family val="2"/>
      </rPr>
      <t xml:space="preserve"> A same-day geopolitical news catalyst (Middle East supply disruption) drove aluminum stocks up ~7% in a single session. This is a momentum trade with a clear, short-term, real-world catalyst, the type of trade uniquely suited to a 12-day closing window.</t>
    </r>
  </si>
  <si>
    <t>The most important lesson from this simulation is that strategy must be adaptive, not static. Our original charter was built for a stable market; it was the wrong tool for a correction. Waiting too long to invoke the emergency override cost us several weeks of slow bleed. 
Next steps: monitor PSQ and SH daily, if the market shows a confirmed reversal signal (Fed pivot language, peace deal, strong jobs data), exit inverse positions immediately and rotate back into quality longs. Monitor AA and CENX for 3–5 day momentum window and set internal stops at. Final portfolio review scheduled for last trading log.</t>
  </si>
  <si>
    <t>1st log</t>
  </si>
  <si>
    <t>AssetClass</t>
  </si>
  <si>
    <t>Value</t>
  </si>
  <si>
    <t>Cash</t>
  </si>
  <si>
    <t>Long Equities</t>
  </si>
  <si>
    <t>GBP</t>
  </si>
  <si>
    <t>Bond</t>
  </si>
  <si>
    <t>EUR</t>
  </si>
  <si>
    <t>Mutual Fund</t>
  </si>
  <si>
    <t>JPY</t>
  </si>
  <si>
    <t>FX</t>
  </si>
  <si>
    <t>CHF</t>
  </si>
  <si>
    <t>Crypto</t>
  </si>
  <si>
    <t>CAD</t>
  </si>
  <si>
    <t>Commodity</t>
  </si>
  <si>
    <t>AUD</t>
  </si>
  <si>
    <t>Index Future</t>
  </si>
  <si>
    <t>CNY</t>
  </si>
  <si>
    <t>Option</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</si>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</sst>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409]* #,##0.00_);_([$$-409]* \(#,##0.00\);_([$$-409]* &quot;-&quot;??_);_(@_)"/>
    <numFmt numFmtId="165" formatCode="_([$$-409]* #,##0_);_([$$-409]* \(#,##0\);_([$$-409]* &quot;-&quot;_);_(@_)"/>
    <numFmt numFmtId="166" formatCode="_-[$$-409]* #,##0.00_ ;_-[$$-409]* \-#,##0.00\ ;_-[$$-409]* &quot;-&quot;??_ ;_-@_ "/>
    <numFmt numFmtId="167" formatCode="[$-14009]yyyy/mm/dd;@"/>
  </numFmts>
  <fonts count="28">
    <font>
      <sz val="11"/>
      <color theme="1"/>
      <name val="Calibri"/>
      <family val="2"/>
      <scheme val="minor"/>
    </font>
    <font>
      <b/>
      <sz val="12"/>
      <color theme="1"/>
      <name val="Calibri"/>
      <family val="2"/>
      <scheme val="minor"/>
    </font>
    <font>
      <sz val="11"/>
      <color theme="1"/>
      <name val="Bai Jamjuree"/>
      <family val="2"/>
      <charset val="222"/>
    </font>
    <font>
      <b/>
      <sz val="16"/>
      <color theme="1"/>
      <name val="Bai Jamjuree"/>
      <family val="2"/>
      <charset val="222"/>
    </font>
    <font>
      <b/>
      <sz val="12"/>
      <color theme="0"/>
      <name val="Bai Jamjuree"/>
      <family val="2"/>
      <charset val="222"/>
    </font>
    <font>
      <sz val="12"/>
      <color theme="1"/>
      <name val="Bai Jamjuree"/>
      <family val="2"/>
      <charset val="222"/>
    </font>
    <font>
      <sz val="18"/>
      <color theme="1"/>
      <name val="Bai Jamjuree"/>
      <family val="2"/>
      <charset val="222"/>
    </font>
    <font>
      <sz val="12"/>
      <name val="Bai Jamjuree"/>
      <family val="2"/>
      <charset val="222"/>
    </font>
    <font>
      <b/>
      <sz val="12"/>
      <name val="Bai Jamjuree"/>
      <family val="2"/>
      <charset val="222"/>
    </font>
    <font>
      <sz val="72"/>
      <name val="Bai Jamjuree"/>
      <family val="2"/>
      <charset val="222"/>
    </font>
    <font>
      <sz val="16"/>
      <name val="Bai Jamjuree"/>
      <family val="2"/>
      <charset val="222"/>
    </font>
    <font>
      <sz val="22"/>
      <name val="Bai Jamjuree"/>
      <family val="2"/>
      <charset val="222"/>
    </font>
    <font>
      <sz val="72"/>
      <name val="Poppins"/>
    </font>
    <font>
      <b/>
      <sz val="22"/>
      <name val="Bai Jamjuree"/>
      <family val="2"/>
      <charset val="222"/>
    </font>
    <font>
      <sz val="12"/>
      <name val="Bai Jamjuree"/>
      <family val="2"/>
      <charset val="222"/>
    </font>
    <font>
      <sz val="11"/>
      <color theme="1"/>
      <name val="Poppins"/>
    </font>
    <font>
      <sz val="11"/>
      <color theme="1" tint="0.499984740745262"/>
      <name val="Bai Jamjuree"/>
      <family val="2"/>
      <charset val="222"/>
    </font>
    <font>
      <sz val="11"/>
      <color theme="1" tint="0.499984740745262"/>
      <name val="Poppins"/>
    </font>
    <font>
      <sz val="11"/>
      <color theme="1"/>
      <name val="Bai Jamjuree"/>
    </font>
    <font>
      <sz val="11"/>
      <color theme="9" tint="-0.499984740745262"/>
      <name val="Bai Jamjuree"/>
    </font>
    <font>
      <sz val="11"/>
      <color rgb="FF000000"/>
      <name val="Calibri"/>
      <family val="2"/>
      <scheme val="minor"/>
    </font>
    <font>
      <sz val="11"/>
      <color theme="1"/>
      <name val="Arial"/>
      <family val="2"/>
    </font>
    <font>
      <sz val="11"/>
      <color theme="1"/>
      <name val="Bai Jamjuree"/>
      <charset val="222"/>
    </font>
    <font>
      <b/>
      <sz val="11"/>
      <color rgb="FF1F1F1F"/>
      <name val="Arial"/>
    </font>
    <font>
      <sz val="11"/>
      <color rgb="FF1F1F1F"/>
      <name val="Arial"/>
    </font>
    <font>
      <sz val="12"/>
      <color theme="1"/>
      <name val="Bai Jamjuree"/>
      <charset val="222"/>
    </font>
    <font>
      <b/>
      <sz val="11"/>
      <color theme="1"/>
      <name val="Arial"/>
      <family val="2"/>
    </font>
    <font>
      <b/>
      <sz val="12"/>
      <color theme="1"/>
      <name val="Bai Jamjuree"/>
      <family val="2"/>
      <charset val="222"/>
    </font>
  </fonts>
  <fills count="8">
    <fill>
      <patternFill patternType="none"/>
    </fill>
    <fill>
      <patternFill patternType="gray125"/>
    </fill>
    <fill>
      <patternFill patternType="solid">
        <fgColor theme="4"/>
        <bgColor theme="4"/>
      </patternFill>
    </fill>
    <fill>
      <patternFill patternType="solid">
        <fgColor theme="2"/>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medium">
        <color rgb="FFDDDDDD"/>
      </left>
      <right style="medium">
        <color rgb="FFDDDDDD"/>
      </right>
      <top style="medium">
        <color rgb="FFDDDDDD"/>
      </top>
      <bottom style="medium">
        <color rgb="FFDDDDDD"/>
      </bottom>
      <diagonal/>
    </border>
    <border>
      <left/>
      <right/>
      <top/>
      <bottom style="double">
        <color theme="9"/>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0">
    <xf numFmtId="0" fontId="0" fillId="0" borderId="0" xfId="0"/>
    <xf numFmtId="0" fontId="1" fillId="0" borderId="0" xfId="0" applyFont="1"/>
    <xf numFmtId="0" fontId="0" fillId="0" borderId="0" xfId="0" applyAlignment="1">
      <alignment vertical="top" wrapText="1"/>
    </xf>
    <xf numFmtId="0" fontId="2" fillId="0" borderId="0" xfId="0" applyFont="1"/>
    <xf numFmtId="0" fontId="2" fillId="0" borderId="0" xfId="0" applyFont="1" applyAlignment="1">
      <alignment horizontal="center"/>
    </xf>
    <xf numFmtId="0" fontId="2" fillId="0" borderId="0" xfId="0" applyFont="1" applyAlignment="1">
      <alignment horizontal="right"/>
    </xf>
    <xf numFmtId="0" fontId="2"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vertical="center"/>
    </xf>
    <xf numFmtId="4" fontId="2" fillId="0" borderId="0" xfId="0" applyNumberFormat="1" applyFont="1" applyAlignment="1">
      <alignment horizontal="right" vertical="center"/>
    </xf>
    <xf numFmtId="0" fontId="2" fillId="0" borderId="0" xfId="0" applyFont="1" applyAlignment="1">
      <alignment vertical="center" wrapText="1"/>
    </xf>
    <xf numFmtId="4" fontId="2" fillId="0" borderId="0" xfId="0" applyNumberFormat="1" applyFont="1" applyAlignment="1">
      <alignment horizontal="right"/>
    </xf>
    <xf numFmtId="0" fontId="3" fillId="0" borderId="1" xfId="0" applyFont="1" applyBorder="1" applyAlignment="1">
      <alignment horizontal="center" vertical="top" wrapText="1"/>
    </xf>
    <xf numFmtId="0" fontId="3" fillId="0" borderId="1" xfId="0" applyFont="1" applyBorder="1" applyAlignment="1">
      <alignment horizontal="right" vertical="top" wrapText="1"/>
    </xf>
    <xf numFmtId="0" fontId="4" fillId="2" borderId="1" xfId="0" applyFont="1" applyFill="1" applyBorder="1" applyAlignment="1">
      <alignment horizontal="center" vertical="top" wrapText="1"/>
    </xf>
    <xf numFmtId="0" fontId="5" fillId="0" borderId="0" xfId="0" applyFont="1"/>
    <xf numFmtId="14" fontId="5" fillId="0" borderId="1" xfId="0" applyNumberFormat="1" applyFont="1" applyBorder="1" applyAlignment="1">
      <alignment horizontal="center" vertical="center"/>
    </xf>
    <xf numFmtId="0" fontId="5" fillId="0" borderId="1" xfId="0" applyFont="1" applyBorder="1" applyAlignment="1">
      <alignment vertical="center" wrapText="1"/>
    </xf>
    <xf numFmtId="14" fontId="5" fillId="0" borderId="0" xfId="0" applyNumberFormat="1" applyFont="1" applyAlignment="1">
      <alignment vertical="center"/>
    </xf>
    <xf numFmtId="0" fontId="5" fillId="0" borderId="0" xfId="0" applyFont="1" applyAlignment="1">
      <alignment vertical="center" wrapText="1"/>
    </xf>
    <xf numFmtId="0" fontId="5" fillId="0" borderId="0" xfId="0" applyFont="1" applyAlignment="1">
      <alignment vertical="center"/>
    </xf>
    <xf numFmtId="0" fontId="5" fillId="0" borderId="0" xfId="0" applyFont="1" applyAlignment="1">
      <alignment wrapText="1"/>
    </xf>
    <xf numFmtId="164" fontId="2" fillId="0" borderId="0" xfId="0" applyNumberFormat="1" applyFont="1"/>
    <xf numFmtId="0" fontId="3" fillId="0" borderId="0" xfId="0" applyFont="1" applyAlignment="1">
      <alignment horizontal="center" vertical="top" wrapText="1"/>
    </xf>
    <xf numFmtId="22" fontId="2" fillId="0" borderId="0" xfId="0" applyNumberFormat="1" applyFont="1"/>
    <xf numFmtId="4" fontId="2" fillId="0" borderId="0" xfId="0" applyNumberFormat="1" applyFont="1"/>
    <xf numFmtId="10" fontId="2" fillId="0" borderId="0" xfId="0" applyNumberFormat="1" applyFont="1"/>
    <xf numFmtId="3" fontId="2" fillId="0" borderId="0" xfId="0" applyNumberFormat="1" applyFont="1"/>
    <xf numFmtId="0" fontId="6" fillId="0" borderId="0" xfId="0" applyFont="1" applyAlignment="1">
      <alignment wrapText="1"/>
    </xf>
    <xf numFmtId="0" fontId="7" fillId="0" borderId="0" xfId="0" applyFont="1"/>
    <xf numFmtId="0" fontId="7" fillId="0" borderId="0" xfId="0" applyFont="1" applyAlignment="1">
      <alignment horizontal="left" vertical="center" readingOrder="1"/>
    </xf>
    <xf numFmtId="0" fontId="8" fillId="0" borderId="0" xfId="0" applyFont="1" applyAlignment="1">
      <alignment horizontal="left" vertical="center"/>
    </xf>
    <xf numFmtId="0" fontId="7" fillId="0" borderId="0" xfId="0" applyFont="1" applyAlignment="1">
      <alignment horizontal="left"/>
    </xf>
    <xf numFmtId="0" fontId="10" fillId="0" borderId="0" xfId="0" applyFont="1" applyAlignment="1">
      <alignment horizontal="left"/>
    </xf>
    <xf numFmtId="0" fontId="10" fillId="0" borderId="0" xfId="0" applyFont="1" applyAlignment="1">
      <alignment horizontal="left" vertical="center"/>
    </xf>
    <xf numFmtId="0" fontId="13" fillId="0" borderId="0" xfId="0" applyFont="1" applyAlignment="1">
      <alignment horizontal="center" vertical="center"/>
    </xf>
    <xf numFmtId="0" fontId="14" fillId="0" borderId="0" xfId="0" applyFont="1"/>
    <xf numFmtId="165" fontId="2" fillId="0" borderId="0" xfId="0" applyNumberFormat="1" applyFont="1"/>
    <xf numFmtId="0" fontId="15" fillId="0" borderId="2" xfId="0" applyFont="1" applyBorder="1" applyAlignment="1">
      <alignment horizontal="left" vertical="center" wrapText="1"/>
    </xf>
    <xf numFmtId="0" fontId="5" fillId="0" borderId="1" xfId="0" applyFont="1" applyBorder="1" applyAlignment="1">
      <alignment horizontal="left" vertical="center" wrapText="1" indent="2"/>
    </xf>
    <xf numFmtId="14" fontId="7" fillId="0" borderId="0" xfId="0" applyNumberFormat="1" applyFont="1"/>
    <xf numFmtId="167" fontId="3" fillId="0" borderId="1" xfId="0" applyNumberFormat="1" applyFont="1" applyBorder="1" applyAlignment="1">
      <alignment horizontal="center" vertical="top" wrapText="1"/>
    </xf>
    <xf numFmtId="167" fontId="2" fillId="0" borderId="0" xfId="0" applyNumberFormat="1" applyFont="1" applyAlignment="1">
      <alignment horizontal="center" vertical="center"/>
    </xf>
    <xf numFmtId="167" fontId="2" fillId="0" borderId="0" xfId="0" applyNumberFormat="1" applyFont="1" applyAlignment="1">
      <alignment horizontal="center"/>
    </xf>
    <xf numFmtId="167" fontId="2" fillId="0" borderId="0" xfId="0" applyNumberFormat="1" applyFont="1"/>
    <xf numFmtId="167" fontId="2" fillId="4" borderId="0" xfId="0" applyNumberFormat="1" applyFont="1" applyFill="1" applyAlignment="1">
      <alignment horizontal="center" vertical="center"/>
    </xf>
    <xf numFmtId="0" fontId="2" fillId="4" borderId="0" xfId="0" applyFont="1" applyFill="1" applyAlignment="1">
      <alignment horizontal="center" vertical="center"/>
    </xf>
    <xf numFmtId="164" fontId="2" fillId="4" borderId="0" xfId="0" applyNumberFormat="1" applyFont="1" applyFill="1" applyAlignment="1">
      <alignment horizontal="right" vertical="center"/>
    </xf>
    <xf numFmtId="0" fontId="2" fillId="4" borderId="0" xfId="0" applyFont="1" applyFill="1" applyAlignment="1">
      <alignment vertical="center"/>
    </xf>
    <xf numFmtId="0" fontId="2" fillId="4" borderId="0" xfId="0" applyFont="1" applyFill="1" applyAlignment="1">
      <alignment horizontal="right" vertical="center"/>
    </xf>
    <xf numFmtId="4" fontId="2" fillId="4" borderId="0" xfId="0" applyNumberFormat="1" applyFont="1" applyFill="1" applyAlignment="1">
      <alignment horizontal="right" vertical="center"/>
    </xf>
    <xf numFmtId="167" fontId="16" fillId="0" borderId="0" xfId="0" applyNumberFormat="1" applyFont="1" applyAlignment="1">
      <alignment horizontal="center" vertical="center"/>
    </xf>
    <xf numFmtId="0" fontId="16" fillId="0" borderId="0" xfId="0" applyFont="1" applyAlignment="1">
      <alignment horizontal="center" vertical="center"/>
    </xf>
    <xf numFmtId="166" fontId="16" fillId="0" borderId="0" xfId="0" applyNumberFormat="1" applyFont="1" applyAlignment="1">
      <alignment horizontal="right" vertical="center"/>
    </xf>
    <xf numFmtId="0" fontId="16" fillId="0" borderId="0" xfId="0" applyFont="1" applyAlignment="1">
      <alignment vertical="center"/>
    </xf>
    <xf numFmtId="0" fontId="16" fillId="0" borderId="0" xfId="0" applyFont="1" applyAlignment="1">
      <alignment horizontal="right" vertical="center"/>
    </xf>
    <xf numFmtId="4" fontId="16" fillId="0" borderId="0" xfId="0" applyNumberFormat="1" applyFont="1" applyAlignment="1">
      <alignment horizontal="right" vertical="center"/>
    </xf>
    <xf numFmtId="0" fontId="16" fillId="0" borderId="0" xfId="0" applyFont="1" applyAlignment="1">
      <alignment vertical="center" wrapText="1"/>
    </xf>
    <xf numFmtId="167" fontId="16" fillId="3" borderId="0" xfId="0" applyNumberFormat="1" applyFont="1" applyFill="1" applyAlignment="1">
      <alignment horizontal="center" vertical="center"/>
    </xf>
    <xf numFmtId="0" fontId="16" fillId="3" borderId="0" xfId="0" applyFont="1" applyFill="1" applyAlignment="1">
      <alignment horizontal="center" vertical="center"/>
    </xf>
    <xf numFmtId="164" fontId="16" fillId="3" borderId="0" xfId="0" applyNumberFormat="1" applyFont="1" applyFill="1" applyAlignment="1">
      <alignment horizontal="right" vertical="center"/>
    </xf>
    <xf numFmtId="0" fontId="16" fillId="3" borderId="0" xfId="0" applyFont="1" applyFill="1" applyAlignment="1">
      <alignment vertical="center"/>
    </xf>
    <xf numFmtId="0" fontId="16" fillId="3" borderId="0" xfId="0" applyFont="1" applyFill="1" applyAlignment="1">
      <alignment horizontal="right" vertical="center"/>
    </xf>
    <xf numFmtId="4" fontId="16" fillId="3" borderId="0" xfId="0" applyNumberFormat="1" applyFont="1" applyFill="1" applyAlignment="1">
      <alignment horizontal="right" vertical="center"/>
    </xf>
    <xf numFmtId="0" fontId="16" fillId="3" borderId="0" xfId="0" applyFont="1" applyFill="1" applyAlignment="1">
      <alignment vertical="center" wrapText="1"/>
    </xf>
    <xf numFmtId="0" fontId="17" fillId="0" borderId="2" xfId="0" applyFont="1" applyBorder="1" applyAlignment="1">
      <alignment horizontal="left" vertical="center" wrapText="1"/>
    </xf>
    <xf numFmtId="0" fontId="16" fillId="0" borderId="2" xfId="0" applyFont="1" applyBorder="1" applyAlignment="1">
      <alignment horizontal="left" vertical="center" wrapText="1"/>
    </xf>
    <xf numFmtId="14" fontId="0" fillId="0" borderId="0" xfId="0" applyNumberFormat="1" applyAlignment="1">
      <alignment horizontal="center" vertical="center" wrapText="1"/>
    </xf>
    <xf numFmtId="166" fontId="2" fillId="0" borderId="0" xfId="0" applyNumberFormat="1" applyFont="1" applyAlignment="1">
      <alignment horizontal="right" vertical="center"/>
    </xf>
    <xf numFmtId="0" fontId="2" fillId="4" borderId="2" xfId="0" applyFont="1" applyFill="1" applyBorder="1" applyAlignment="1">
      <alignment horizontal="left" vertical="center" wrapText="1"/>
    </xf>
    <xf numFmtId="0" fontId="16" fillId="0" borderId="0" xfId="0" applyFont="1" applyAlignment="1">
      <alignment horizontal="center" vertical="center" wrapText="1"/>
    </xf>
    <xf numFmtId="0" fontId="0" fillId="5" borderId="0" xfId="0" applyFill="1"/>
    <xf numFmtId="0" fontId="2" fillId="5" borderId="0" xfId="0" applyFont="1" applyFill="1" applyAlignment="1">
      <alignment wrapText="1"/>
    </xf>
    <xf numFmtId="0" fontId="2" fillId="5" borderId="3" xfId="0" applyFont="1" applyFill="1" applyBorder="1" applyAlignment="1">
      <alignment wrapText="1"/>
    </xf>
    <xf numFmtId="167" fontId="18" fillId="0" borderId="0" xfId="0" applyNumberFormat="1" applyFont="1" applyAlignment="1">
      <alignment horizontal="center" vertical="center"/>
    </xf>
    <xf numFmtId="0" fontId="18" fillId="0" borderId="0" xfId="0" applyFont="1" applyAlignment="1">
      <alignment horizontal="center" vertical="center"/>
    </xf>
    <xf numFmtId="164" fontId="18" fillId="0" borderId="0" xfId="0" applyNumberFormat="1" applyFont="1" applyAlignment="1">
      <alignment horizontal="right" vertical="center"/>
    </xf>
    <xf numFmtId="0" fontId="18" fillId="0" borderId="0" xfId="0" applyFont="1" applyAlignment="1">
      <alignment horizontal="right" vertical="center"/>
    </xf>
    <xf numFmtId="4" fontId="18" fillId="0" borderId="0" xfId="0" applyNumberFormat="1" applyFont="1" applyAlignment="1">
      <alignment horizontal="right" vertical="center"/>
    </xf>
    <xf numFmtId="0" fontId="18" fillId="0" borderId="0" xfId="0" applyFont="1" applyAlignment="1">
      <alignment horizontal="left" vertical="center" wrapText="1"/>
    </xf>
    <xf numFmtId="167" fontId="19" fillId="6" borderId="0" xfId="0" applyNumberFormat="1" applyFont="1" applyFill="1" applyAlignment="1">
      <alignment horizontal="center" vertical="center"/>
    </xf>
    <xf numFmtId="0" fontId="19" fillId="6" borderId="0" xfId="0" applyFont="1" applyFill="1" applyAlignment="1">
      <alignment horizontal="center" vertical="center"/>
    </xf>
    <xf numFmtId="166" fontId="19" fillId="6" borderId="0" xfId="0" applyNumberFormat="1" applyFont="1" applyFill="1" applyAlignment="1">
      <alignment horizontal="right" vertical="center"/>
    </xf>
    <xf numFmtId="0" fontId="19" fillId="6" borderId="0" xfId="0" applyFont="1" applyFill="1" applyAlignment="1">
      <alignment horizontal="right" vertical="center"/>
    </xf>
    <xf numFmtId="4" fontId="19" fillId="6" borderId="0" xfId="0" applyNumberFormat="1" applyFont="1" applyFill="1" applyAlignment="1">
      <alignment horizontal="right" vertical="center"/>
    </xf>
    <xf numFmtId="0" fontId="19" fillId="6" borderId="0" xfId="0" applyFont="1" applyFill="1" applyAlignment="1">
      <alignment vertical="center" wrapText="1"/>
    </xf>
    <xf numFmtId="0" fontId="20" fillId="0" borderId="0" xfId="0" applyFont="1"/>
    <xf numFmtId="0" fontId="18" fillId="7" borderId="0" xfId="0" applyFont="1" applyFill="1" applyAlignment="1">
      <alignment horizontal="center" vertical="center"/>
    </xf>
    <xf numFmtId="167" fontId="22" fillId="0" borderId="0" xfId="0" applyNumberFormat="1" applyFont="1" applyAlignment="1">
      <alignment horizontal="center" vertical="center"/>
    </xf>
    <xf numFmtId="0" fontId="22" fillId="0" borderId="0" xfId="0" applyFont="1" applyAlignment="1">
      <alignment horizontal="center" vertical="center"/>
    </xf>
    <xf numFmtId="166" fontId="22" fillId="0" borderId="0" xfId="0" applyNumberFormat="1" applyFont="1" applyAlignment="1">
      <alignment horizontal="right" vertical="center"/>
    </xf>
    <xf numFmtId="0" fontId="22" fillId="0" borderId="0" xfId="0" applyFont="1" applyAlignment="1">
      <alignment horizontal="right" vertical="center"/>
    </xf>
    <xf numFmtId="4" fontId="22" fillId="0" borderId="0" xfId="0" applyNumberFormat="1" applyFont="1" applyAlignment="1">
      <alignment horizontal="right" vertical="center"/>
    </xf>
    <xf numFmtId="0" fontId="22" fillId="7" borderId="0" xfId="0" applyFont="1" applyFill="1" applyAlignment="1">
      <alignment horizontal="left" vertical="center"/>
    </xf>
    <xf numFmtId="164" fontId="18" fillId="7" borderId="0" xfId="0" applyNumberFormat="1" applyFont="1" applyFill="1" applyAlignment="1">
      <alignment horizontal="center" vertical="center"/>
    </xf>
    <xf numFmtId="0" fontId="22" fillId="7" borderId="0" xfId="0" quotePrefix="1" applyFont="1" applyFill="1" applyAlignment="1">
      <alignment horizontal="center" vertical="center"/>
    </xf>
    <xf numFmtId="0" fontId="24" fillId="0" borderId="0" xfId="0" applyFont="1" applyAlignment="1">
      <alignment vertical="center" wrapText="1" readingOrder="1"/>
    </xf>
    <xf numFmtId="0" fontId="23" fillId="0" borderId="0" xfId="0" applyFont="1" applyAlignment="1">
      <alignment vertical="center" wrapText="1" readingOrder="1"/>
    </xf>
    <xf numFmtId="14" fontId="25" fillId="0" borderId="1" xfId="0" applyNumberFormat="1" applyFont="1" applyBorder="1" applyAlignment="1">
      <alignment horizontal="center" vertical="center"/>
    </xf>
    <xf numFmtId="0" fontId="25" fillId="0" borderId="1" xfId="0" applyFont="1" applyBorder="1" applyAlignment="1">
      <alignment vertical="center" wrapText="1"/>
    </xf>
    <xf numFmtId="0" fontId="7" fillId="0" borderId="0" xfId="0" applyFont="1" applyAlignment="1">
      <alignment horizontal="center"/>
    </xf>
    <xf numFmtId="0" fontId="9" fillId="0" borderId="0" xfId="0" applyFont="1" applyAlignment="1">
      <alignment horizontal="right" vertical="center"/>
    </xf>
    <xf numFmtId="0" fontId="12" fillId="0" borderId="0" xfId="0" applyFont="1" applyAlignment="1">
      <alignment horizontal="center" vertical="center"/>
    </xf>
    <xf numFmtId="0" fontId="10" fillId="0" borderId="0" xfId="0" applyFont="1" applyAlignment="1">
      <alignment horizontal="center" vertical="center"/>
    </xf>
    <xf numFmtId="14" fontId="11" fillId="0" borderId="0" xfId="0" applyNumberFormat="1" applyFont="1" applyAlignment="1">
      <alignment horizontal="center" vertical="center"/>
    </xf>
    <xf numFmtId="0" fontId="5" fillId="0" borderId="0" xfId="0" applyFont="1" applyAlignment="1">
      <alignment horizontal="center"/>
    </xf>
    <xf numFmtId="14" fontId="25" fillId="0" borderId="4" xfId="0" applyNumberFormat="1" applyFont="1" applyBorder="1" applyAlignment="1">
      <alignment horizontal="center" vertical="center"/>
    </xf>
    <xf numFmtId="14" fontId="25" fillId="0" borderId="5" xfId="0" applyNumberFormat="1" applyFont="1" applyBorder="1" applyAlignment="1">
      <alignment horizontal="center" vertical="center"/>
    </xf>
    <xf numFmtId="14" fontId="25" fillId="0" borderId="6" xfId="0" applyNumberFormat="1" applyFont="1" applyBorder="1" applyAlignment="1">
      <alignment horizontal="center" vertical="center"/>
    </xf>
  </cellXfs>
  <cellStyles count="1">
    <cellStyle name="Normal" xfId="0" builtinId="0"/>
  </cellStyles>
  <dxfs count="61">
    <dxf>
      <font>
        <strike val="0"/>
        <outline val="0"/>
        <shadow val="0"/>
        <u val="none"/>
        <vertAlign val="baseline"/>
        <name val="Bai Jamjuree"/>
        <scheme val="none"/>
      </font>
      <alignment vertical="center" textRotation="0" wrapText="1" indent="0" justifyLastLine="0" shrinkToFit="0" readingOrder="0"/>
    </dxf>
    <dxf>
      <font>
        <b val="0"/>
        <i val="0"/>
        <strike val="0"/>
        <condense val="0"/>
        <extend val="0"/>
        <outline val="0"/>
        <shadow val="0"/>
        <u val="none"/>
        <vertAlign val="baseline"/>
        <sz val="11"/>
        <color theme="1"/>
        <name val="Bai Jamjuree"/>
        <scheme val="none"/>
      </font>
      <alignment horizontal="general" vertical="bottom" textRotation="0" wrapText="1" indent="0" justifyLastLine="0" shrinkToFit="0" readingOrder="0"/>
    </dxf>
    <dxf>
      <font>
        <strike val="0"/>
        <outline val="0"/>
        <shadow val="0"/>
        <u val="none"/>
        <vertAlign val="baseline"/>
        <name val="Bai Jamjuree"/>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numFmt numFmtId="4" formatCode="#,##0.00"/>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numFmt numFmtId="4" formatCode="#,##0.00"/>
      <alignment horizontal="right" vertical="bottom" textRotation="0" wrapText="0" indent="0" justifyLastLine="0" shrinkToFit="0" readingOrder="0"/>
    </dxf>
    <dxf>
      <font>
        <strike val="0"/>
        <outline val="0"/>
        <shadow val="0"/>
        <u val="none"/>
        <vertAlign val="baseline"/>
        <name val="Bai Jamjuree"/>
        <scheme val="none"/>
      </font>
      <alignment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dxf>
    <dxf>
      <font>
        <strike val="0"/>
        <outline val="0"/>
        <shadow val="0"/>
        <u val="none"/>
        <vertAlign val="baseline"/>
        <name val="Bai Jamjuree"/>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dxf>
    <dxf>
      <font>
        <strike val="0"/>
        <outline val="0"/>
        <shadow val="0"/>
        <u val="none"/>
        <vertAlign val="baseline"/>
        <name val="Bai Jamjuree"/>
        <scheme val="none"/>
      </font>
      <alignment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dxf>
    <dxf>
      <font>
        <strike val="0"/>
        <outline val="0"/>
        <shadow val="0"/>
        <u val="none"/>
        <vertAlign val="baseline"/>
        <name val="Bai Jamjuree"/>
        <scheme val="none"/>
      </font>
      <numFmt numFmtId="164" formatCode="_([$$-409]* #,##0.00_);_([$$-409]* \(#,##0.00\);_([$$-409]* &quot;-&quot;??_);_(@_)"/>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right"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numFmt numFmtId="167" formatCode="[$-14009]yyyy/mm/dd;@"/>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numFmt numFmtId="167" formatCode="[$-14009]yyyy/mm/dd;@"/>
      <alignment horizontal="center" vertical="bottom" textRotation="0" wrapText="0" indent="0" justifyLastLine="0" shrinkToFit="0" readingOrder="0"/>
    </dxf>
    <dxf>
      <border outline="0">
        <bottom style="thin">
          <color auto="1"/>
        </bottom>
      </border>
    </dxf>
    <dxf>
      <font>
        <strike val="0"/>
        <outline val="0"/>
        <shadow val="0"/>
        <u val="none"/>
        <vertAlign val="baseline"/>
        <name val="Bai Jamjuree"/>
        <scheme val="none"/>
      </font>
    </dxf>
    <dxf>
      <font>
        <strike val="0"/>
        <outline val="0"/>
        <shadow val="0"/>
        <u val="none"/>
        <vertAlign val="baseline"/>
        <name val="Bai Jamjuree"/>
        <scheme val="none"/>
      </font>
      <alignment vertical="center" textRotation="0" indent="0" justifyLastLine="0" shrinkToFit="0" readingOrder="0"/>
    </dxf>
    <dxf>
      <font>
        <b/>
        <i val="0"/>
        <strike val="0"/>
        <condense val="0"/>
        <extend val="0"/>
        <outline val="0"/>
        <shadow val="0"/>
        <u val="none"/>
        <vertAlign val="baseline"/>
        <sz val="16"/>
        <color theme="1"/>
        <name val="Bai Jamjuree"/>
        <scheme val="none"/>
      </font>
      <alignment horizontal="center" vertical="top"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name val="Bai Jamjuree"/>
        <scheme val="none"/>
      </font>
      <alignment vertical="center" textRotation="0" wrapText="1"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general" vertical="bottom" textRotation="0" wrapText="1" indent="0" justifyLastLine="0" shrinkToFit="0" readingOrder="0"/>
    </dxf>
    <dxf>
      <font>
        <strike val="0"/>
        <outline val="0"/>
        <shadow val="0"/>
        <u val="none"/>
        <vertAlign val="baseline"/>
        <name val="Bai Jamjuree"/>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numFmt numFmtId="4" formatCode="#,##0.00"/>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numFmt numFmtId="4" formatCode="#,##0.00"/>
      <alignment horizontal="right"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dxf>
    <dxf>
      <font>
        <strike val="0"/>
        <outline val="0"/>
        <shadow val="0"/>
        <u val="none"/>
        <vertAlign val="baseline"/>
        <name val="Bai Jamjuree"/>
        <scheme val="none"/>
      </font>
      <alignment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numFmt numFmtId="164" formatCode="_([$$-409]* #,##0.00_);_([$$-409]* \(#,##0.00\);_([$$-409]* &quot;-&quot;??_);_(@_)"/>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right"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numFmt numFmtId="167" formatCode="[$-14009]yyyy/mm/dd;@"/>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numFmt numFmtId="167" formatCode="[$-14009]yyyy/mm/dd;@"/>
      <alignment horizontal="center" vertical="bottom" textRotation="0" wrapText="0" indent="0" justifyLastLine="0" shrinkToFit="0" readingOrder="0"/>
    </dxf>
    <dxf>
      <border outline="0">
        <bottom style="thin">
          <color auto="1"/>
        </bottom>
      </border>
    </dxf>
    <dxf>
      <font>
        <strike val="0"/>
        <outline val="0"/>
        <shadow val="0"/>
        <u val="none"/>
        <vertAlign val="baseline"/>
        <name val="Bai Jamjuree"/>
        <scheme val="none"/>
      </font>
    </dxf>
    <dxf>
      <font>
        <strike val="0"/>
        <outline val="0"/>
        <shadow val="0"/>
        <u val="none"/>
        <vertAlign val="baseline"/>
        <name val="Bai Jamjuree"/>
        <scheme val="none"/>
      </font>
      <alignment vertical="center" textRotation="0" indent="0" justifyLastLine="0" shrinkToFit="0" readingOrder="0"/>
    </dxf>
    <dxf>
      <font>
        <b/>
        <i val="0"/>
        <strike val="0"/>
        <condense val="0"/>
        <extend val="0"/>
        <outline val="0"/>
        <shadow val="0"/>
        <u val="none"/>
        <vertAlign val="baseline"/>
        <sz val="16"/>
        <color theme="1"/>
        <name val="Bai Jamjuree"/>
        <scheme val="none"/>
      </font>
      <alignment horizontal="center" vertical="top" textRotation="0" wrapText="1" indent="0" justifyLastLine="0" shrinkToFit="0" readingOrder="0"/>
      <border diagonalUp="0" diagonalDown="0" outline="0">
        <left style="thin">
          <color auto="1"/>
        </left>
        <right style="thin">
          <color auto="1"/>
        </right>
        <top/>
        <bottom/>
      </border>
    </dxf>
    <dxf>
      <fill>
        <patternFill>
          <bgColor theme="9" tint="-0.499984740745262"/>
        </patternFill>
      </fill>
    </dxf>
  </dxfs>
  <tableStyles count="1" defaultTableStyle="TableStyleMedium9" defaultPivotStyle="PivotStyleLight16">
    <tableStyle name="Table Style 1" pivot="0" count="1" xr9:uid="{125F60BD-1004-4C58-B149-3766CD2AE2CC}">
      <tableStyleElement type="headerRow" dxfId="60"/>
    </tableStyle>
  </tableStyles>
  <colors>
    <mruColors>
      <color rgb="FFFDC89D"/>
      <color rgb="FFB958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ichStyles" Target="richData/richStyles.xml"/><Relationship Id="rId25" Type="http://schemas.openxmlformats.org/officeDocument/2006/relationships/customXml" Target="../customXml/item4.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17/06/relationships/rdRichValue" Target="richData/rdrichvalue.xml"/><Relationship Id="rId23" Type="http://schemas.openxmlformats.org/officeDocument/2006/relationships/customXml" Target="../customXml/item2.xml"/><Relationship Id="rId10" Type="http://schemas.openxmlformats.org/officeDocument/2006/relationships/connections" Target="connections.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22/10/relationships/richValueRel" Target="richData/richValueRel.xml"/><Relationship Id="rId22"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491749-9FA6-4C2D-A82F-B78456C80333}" autoFormatId="16" applyNumberFormats="0" applyBorderFormats="0" applyFontFormats="0" applyPatternFormats="0" applyAlignmentFormats="0" applyWidthHeightFormats="0">
  <queryTableRefresh nextId="3">
    <queryTableFields count="2">
      <queryTableField id="1" name="AssetClass" tableColumnId="1"/>
      <queryTableField id="2" name="Value" tableColumnId="2"/>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2">
  <rv s="0">
    <v>0</v>
    <v>5</v>
  </rv>
  <rv s="1">
    <v>https://www.bing.com/financeapi/forcetrigger?t=a21ck2&amp;q=ARCX%3aPSQ&amp;form=skydnc</v>
    <v>Learn more on Bing</v>
  </rv>
  <rv s="2">
    <v>en-GB</v>
    <v>a21ck2</v>
    <v>268435456</v>
    <v>1</v>
    <v>Powered by Refinitiv</v>
    <v>0</v>
    <v>ProShares:Sht QQQ (ARCX:PSQ)</v>
    <v>2</v>
    <v>3</v>
    <v>Finance</v>
    <v>4</v>
    <v>46.98</v>
    <v>29.24</v>
    <v>-0.95860000000000001</v>
    <v>0.26</v>
    <v>1.201E-3</v>
    <v>7.869000000000001E-3</v>
    <v>0.04</v>
    <v>USD</v>
    <v>NYSE Arca</v>
    <v>ARCX</v>
    <v>9.4999999999999998E-3</v>
    <v>33.469900000000003</v>
    <v>ETF</v>
    <v>46111.880055810158</v>
    <v>1</v>
    <v>32.734999999999999</v>
    <v>639886531.45000005</v>
    <v>ProShares:Sht QQQ</v>
    <v>32.76</v>
    <v>33.04</v>
    <v>33.299999999999997</v>
    <v>33.35</v>
    <v>PSQ</v>
    <v>ProShares:Sht QQQ (ARCX:PSQ)</v>
    <v>10764765</v>
    <v>12276288</v>
  </rv>
  <rv s="3">
    <v>2</v>
  </rv>
  <rv s="1">
    <v>https://www.bing.com/financeapi/forcetrigger?t=a267oc&amp;q=ARCX%3aXLE&amp;form=skydnc</v>
    <v>Learn more on Bing</v>
  </rv>
  <rv s="2">
    <v>en-GB</v>
    <v>a267oc</v>
    <v>268435456</v>
    <v>1</v>
    <v>Powered by Refinitiv</v>
    <v>0</v>
    <v>Sel Sector:Enrgy SS SPDR (ARCX:XLE)</v>
    <v>2</v>
    <v>3</v>
    <v>Finance</v>
    <v>4</v>
    <v>63.46</v>
    <v>37.244999999999997</v>
    <v>1.1236999999999999</v>
    <v>-0.61</v>
    <v>3.2599999999999996E-4</v>
    <v>-9.7509999999999993E-3</v>
    <v>2.0199999999999999E-2</v>
    <v>USD</v>
    <v>NYSE Arca</v>
    <v>ARCX</v>
    <v>8.0000000000000004E-4</v>
    <v>63.46</v>
    <v>ETF</v>
    <v>46111.882083541408</v>
    <v>4</v>
    <v>61.78</v>
    <v>37876244903.099998</v>
    <v>Sel Sector:Enrgy SS SPDR</v>
    <v>63.13</v>
    <v>62.56</v>
    <v>61.95</v>
    <v>61.980200000000004</v>
    <v>XLE</v>
    <v>Sel Sector:Enrgy SS SPDR (ARCX:XLE)</v>
    <v>49629980</v>
    <v>65080592</v>
  </rv>
  <rv s="3">
    <v>5</v>
  </rv>
  <rv s="1">
    <v>https://www.bing.com/financeapi/forcetrigger?t=a268f2&amp;q=ARCX%3aXLU&amp;form=skydnc</v>
    <v>Learn more on Bing</v>
  </rv>
  <rv s="2">
    <v>en-GB</v>
    <v>a268f2</v>
    <v>268435456</v>
    <v>1</v>
    <v>Powered by Refinitiv</v>
    <v>0</v>
    <v>Sel Sector:Utl SS SPDR (ARCX:XLU)</v>
    <v>2</v>
    <v>3</v>
    <v>Finance</v>
    <v>4</v>
    <v>47.8</v>
    <v>35.51</v>
    <v>0.99750000000000005</v>
    <v>0.34</v>
    <v>-4.0509999999999998E-4</v>
    <v>7.4580000000000002E-3</v>
    <v>-1.8599999999999998E-2</v>
    <v>USD</v>
    <v>NYSE Arca</v>
    <v>ARCX</v>
    <v>8.0000000000000004E-4</v>
    <v>46.335000000000001</v>
    <v>ETF</v>
    <v>46111.881832928128</v>
    <v>7</v>
    <v>45.755000000000003</v>
    <v>24356755083.259998</v>
    <v>Sel Sector:Utl SS SPDR</v>
    <v>46.17</v>
    <v>45.59</v>
    <v>45.93</v>
    <v>45.901400000000002</v>
    <v>XLU</v>
    <v>Sel Sector:Utl SS SPDR (ARCX:XLU)</v>
    <v>28257443</v>
    <v>29202996</v>
  </rv>
  <rv s="3">
    <v>8</v>
  </rv>
  <rv s="1">
    <v>https://www.bing.com/financeapi/forcetrigger?t=a22vim&amp;q=ARCX%3aSH&amp;form=skydnc</v>
    <v>Learn more on Bing</v>
  </rv>
  <rv s="2">
    <v>en-GB</v>
    <v>a22vim</v>
    <v>268435456</v>
    <v>1</v>
    <v>Powered by Refinitiv</v>
    <v>0</v>
    <v>ProShares:Short S&amp;P500 (ARCX:SH)</v>
    <v>2</v>
    <v>3</v>
    <v>Finance</v>
    <v>4</v>
    <v>51.370600000000003</v>
    <v>35.340000000000003</v>
    <v>-0.97829999999999995</v>
    <v>0.14000000000000001</v>
    <v>7.6859999999999993E-4</v>
    <v>3.5999999999999999E-3</v>
    <v>0.03</v>
    <v>USD</v>
    <v>NYSE Arca</v>
    <v>ARCX</v>
    <v>8.8999999999999999E-3</v>
    <v>39.200000000000003</v>
    <v>ETF</v>
    <v>46111.881099733597</v>
    <v>10</v>
    <v>38.520000000000003</v>
    <v>1043574417.37</v>
    <v>ProShares:Short S&amp;P500</v>
    <v>38.545000000000002</v>
    <v>38.89</v>
    <v>39.03</v>
    <v>39.06</v>
    <v>SH</v>
    <v>ProShares:Short S&amp;P500 (ARCX:SH)</v>
    <v>13299114</v>
    <v>16273113</v>
  </rv>
  <rv s="3">
    <v>11</v>
  </rv>
  <rv s="1">
    <v>https://www.bing.com/financeapi/forcetrigger?t=a2686h&amp;q=ARCX%3aXLP&amp;form=skydnc</v>
    <v>Learn more on Bing</v>
  </rv>
  <rv s="2">
    <v>en-GB</v>
    <v>a2686h</v>
    <v>268435456</v>
    <v>1</v>
    <v>Powered by Refinitiv</v>
    <v>0</v>
    <v>Sel Sector:C SSS SPDR I (ARCX:XLP)</v>
    <v>2</v>
    <v>3</v>
    <v>Finance</v>
    <v>4</v>
    <v>90.14</v>
    <v>75.16</v>
    <v>0.97219999999999995</v>
    <v>0.10440000000000001</v>
    <v>1.4660000000000001E-3</v>
    <v>1.2770000000000001E-3</v>
    <v>0.12</v>
    <v>USD</v>
    <v>NYSE Arca</v>
    <v>ARCX</v>
    <v>8.0000000000000004E-4</v>
    <v>82.605000000000004</v>
    <v>ETF</v>
    <v>46111.881877221873</v>
    <v>13</v>
    <v>81.63</v>
    <v>17557141595.32</v>
    <v>Sel Sector:C SSS SPDR I</v>
    <v>81.905000000000001</v>
    <v>81.78</v>
    <v>81.884399999999999</v>
    <v>82</v>
    <v>XLP</v>
    <v>Sel Sector:C SSS SPDR I (ARCX:XLP)</v>
    <v>15853421</v>
    <v>20170937</v>
  </rv>
  <rv s="3">
    <v>14</v>
  </rv>
  <rv s="1">
    <v>https://www.bing.com/financeapi/forcetrigger?t=a1v4jc&amp;q=XNAS%3aIBB&amp;form=skydnc</v>
    <v>Learn more on Bing</v>
  </rv>
  <rv s="2">
    <v>en-GB</v>
    <v>a1v4jc</v>
    <v>268435456</v>
    <v>1</v>
    <v>Powered by Refinitiv</v>
    <v>0</v>
    <v>iShares:Biotechnology (XNAS:IBB)</v>
    <v>2</v>
    <v>3</v>
    <v>Finance</v>
    <v>4</v>
    <v>179.64</v>
    <v>107.43</v>
    <v>0.98740000000000006</v>
    <v>1.45</v>
    <v>2.3909999999999999E-3</v>
    <v>9.0390000000000002E-3</v>
    <v>0.38700000000000001</v>
    <v>USD</v>
    <v>Nasdaq Stock Market</v>
    <v>XNAS</v>
    <v>4.4000000000000003E-3</v>
    <v>162.94999999999999</v>
    <v>ETF</v>
    <v>46111.874621515628</v>
    <v>16</v>
    <v>160.56</v>
    <v>8784036686.0200005</v>
    <v>iShares:Biotechnology</v>
    <v>161.79</v>
    <v>160.41</v>
    <v>161.86000000000001</v>
    <v>162.24700000000001</v>
    <v>IBB</v>
    <v>iShares:Biotechnology (XNAS:IBB)</v>
    <v>1495238</v>
    <v>1764663</v>
  </rv>
  <rv s="3">
    <v>17</v>
  </rv>
  <rv s="1">
    <v>https://www.bing.com/financeapi/forcetrigger?t=a1twnm&amp;q=ARCX%3aGLD&amp;form=skydnc</v>
    <v>Learn more on Bing</v>
  </rv>
  <rv s="2">
    <v>en-GB</v>
    <v>a1twnm</v>
    <v>268435456</v>
    <v>1</v>
    <v>Powered by Refinitiv</v>
    <v>0</v>
    <v>SPDR Gold (ARCX:GLD)</v>
    <v>2</v>
    <v>3</v>
    <v>Finance</v>
    <v>4</v>
    <v>509.7</v>
    <v>272.58</v>
    <v>0.80079999999999996</v>
    <v>-0.08</v>
    <v>-1.206E-3</v>
    <v>-1.9290000000000003E-4</v>
    <v>-0.5</v>
    <v>USD</v>
    <v>NYSE Arca</v>
    <v>ARCX</v>
    <v>4.0000000000000001E-3</v>
    <v>420.1</v>
    <v>ETF</v>
    <v>46111.882100265626</v>
    <v>19</v>
    <v>412.66</v>
    <v>184862291692.19</v>
    <v>SPDR Gold</v>
    <v>419.54</v>
    <v>414.7</v>
    <v>414.62</v>
    <v>414.08</v>
    <v>GLD</v>
    <v>SPDR Gold (ARCX:GLD)</v>
    <v>13116517</v>
    <v>15706788</v>
  </rv>
  <rv s="3">
    <v>20</v>
  </rv>
  <rv s="1">
    <v>https://www.bing.com/financeapi/forcetrigger?t=a1wzw7&amp;q=XNYS%3aLMT&amp;form=skydnc</v>
    <v>Learn more on Bing</v>
  </rv>
  <rv s="4">
    <v>en-GB</v>
    <v>a1wzw7</v>
    <v>268435456</v>
    <v>1</v>
    <v>Powered by Refinitiv</v>
    <v>5</v>
    <v>LOCKHEED MARTIN CORPORATION (XNYS:LMT)</v>
    <v>6</v>
    <v>7</v>
    <v>Finance</v>
    <v>8</v>
    <v>692</v>
    <v>410.11</v>
    <v>0.2394</v>
    <v>-17.28</v>
    <v>-3.3410000000000002E-3</v>
    <v>-2.8058999999999997E-2</v>
    <v>-2</v>
    <v>USD</v>
    <v>Lockheed Martin Corporation is a global aerospace and defense company. The Company is engaged in the research, design, development, manufacture, integration and sustainment of advanced technology systems, products and services. Its segments include Aeronautics, Missiles and Fire Control (MFC), Rotary and Mission Systems (RMS) and Space. Aeronautics segment is engaged in the research, design, development, manufacture, integration, sustainment, support and upgrade of advanced military aircraft. MFC segment provides air and missile defense systems, manned and unmanned ground vehicles, energy management solutions, and others. RMS segment designs, manufactures, services and supports various military and commercial helicopters, surface ships, sea and land-based missile defense systems, and others. Its Space segment is engaged in the research and design, development, engineering and production of satellites, space transportation systems, and strategic, advanced strike, and defensive systems.</v>
    <v>123000</v>
    <v>New York Stock Exchange</v>
    <v>XNYS</v>
    <v>XNYS</v>
    <v>6801 ROCKLEDGE DR, BETHESDA, MD, 20817 US</v>
    <v>623.32000000000005</v>
    <v>Aerospace &amp; Defense</v>
    <v>Stock</v>
    <v>46111.879632372656</v>
    <v>22</v>
    <v>593.88</v>
    <v>137945394576</v>
    <v>LOCKHEED MARTIN CORPORATION</v>
    <v>LOCKHEED MARTIN CORPORATION</v>
    <v>621.03</v>
    <v>27.858000000000001</v>
    <v>615.84</v>
    <v>598.55999999999995</v>
    <v>596.57000000000005</v>
    <v>230462100</v>
    <v>LMT</v>
    <v>LOCKHEED MARTIN CORPORATION (XNYS:LMT)</v>
    <v>1847963</v>
    <v>1769801</v>
    <v>1994</v>
  </rv>
  <rv s="3">
    <v>23</v>
  </rv>
  <rv s="1">
    <v>https://www.bing.com/financeapi/forcetrigger?t=a1y4oc&amp;q=XNAS%3aMU&amp;form=skydnc</v>
    <v>Learn more on Bing</v>
  </rv>
  <rv s="4">
    <v>en-GB</v>
    <v>a1y4oc</v>
    <v>268435456</v>
    <v>1</v>
    <v>Powered by Refinitiv</v>
    <v>5</v>
    <v>MICRON TECHNOLOGY, INC. (XNAS:MU)</v>
    <v>6</v>
    <v>7</v>
    <v>Finance</v>
    <v>8</v>
    <v>471.34</v>
    <v>61.54</v>
    <v>1.5698000000000001</v>
    <v>-35.270000000000003</v>
    <v>-3.5739999999999999E-3</v>
    <v>-9.8775999999999989E-2</v>
    <v>-1.1499999999999999</v>
    <v>USD</v>
    <v>Micron Technology, Inc. provides memory and storage solutions. The Company delivers a portfolio of high-performance dynamic random-access memory (DRAM), NAND, and NOR memory and storage products through its Micron and Crucial brands. The Company's products enable advancing in artificial intelligence (AI) and compute-intensive applications. Its segments include Cloud Memory Business Unit (CMBU), Core Data Center Business Unit (CDBU), Mobile and Client Business Unit (MCBU) and Automotive and Embedded Business Unit (AEBU). CMBU is focused on memory solutions for large hyperscale cloud customers, and high bandwidth memory (HBM) for all data center customers. CDBU is focused on memory solutions for mid-tier cloud, enterprise, and OEM data center customers and storage solutions for all data center customers. MCBU is focused on memory and storage solutions for mobile and client segments. AEBU is focused on memory and storage solutions for the automotive, industrial, and consumer segments.</v>
    <v>53000</v>
    <v>Nasdaq Stock Market</v>
    <v>XNAS</v>
    <v>XNAS</v>
    <v>8000 S Federal Way, Po Box 6, BOISE, ID, 83716-9632 US</v>
    <v>362.81</v>
    <v>Semiconductors &amp; Semiconductor Equipment</v>
    <v>Stock</v>
    <v>46111.882165346877</v>
    <v>25</v>
    <v>318.39999999999998</v>
    <v>362904801200</v>
    <v>MICRON TECHNOLOGY, INC.</v>
    <v>MICRON TECHNOLOGY, INC.</v>
    <v>362.66</v>
    <v>30.589400000000001</v>
    <v>357.07</v>
    <v>321.8</v>
    <v>320.64999999999998</v>
    <v>1127734000</v>
    <v>MU</v>
    <v>MICRON TECHNOLOGY, INC. (XNAS:MU)</v>
    <v>72834342</v>
    <v>41043954</v>
    <v>1984</v>
  </rv>
  <rv s="3">
    <v>26</v>
  </rv>
  <rv s="1">
    <v>https://www.bing.com/financeapi/forcetrigger?t=a1vtr7&amp;q=BATS%3aITA&amp;form=skydnc</v>
    <v>Learn more on Bing</v>
  </rv>
  <rv s="2">
    <v>en-GB</v>
    <v>a1vtr7</v>
    <v>268435456</v>
    <v>1</v>
    <v>Powered by Refinitiv</v>
    <v>0</v>
    <v>iShares:US Aer&amp;Def ETF (BATS:ITA)</v>
    <v>2</v>
    <v>3</v>
    <v>Finance</v>
    <v>4</v>
    <v>250.65</v>
    <v>129.13999999999999</v>
    <v>0.94530000000000003</v>
    <v>-5.37</v>
    <v>-2.8219999999999999E-3</v>
    <v>-2.4857000000000001E-2</v>
    <v>-0.5948</v>
    <v>USD</v>
    <v>CBOE BZX Exchange</v>
    <v>BATS</v>
    <v>3.8E-3</v>
    <v>218.5</v>
    <v>ETF</v>
    <v>46111.87901954844</v>
    <v>28</v>
    <v>209.31</v>
    <v>16010935446.83</v>
    <v>iShares:US Aer&amp;Def ETF</v>
    <v>217.34</v>
    <v>216.04</v>
    <v>210.67</v>
    <v>210.1952</v>
    <v>ITA</v>
    <v>iShares:US Aer&amp;Def ETF (BATS:ITA)</v>
    <v>1473711</v>
    <v>1620484</v>
  </rv>
  <rv s="3">
    <v>29</v>
  </rv>
  <rv s="1">
    <v>https://www.bing.com/financeapi/forcetrigger?t=a269ec&amp;q=XNYS%3aXOM&amp;form=skydnc</v>
    <v>Learn more on Bing</v>
  </rv>
  <rv s="4">
    <v>en-GB</v>
    <v>a269ec</v>
    <v>268435456</v>
    <v>1</v>
    <v>Powered by Refinitiv</v>
    <v>5</v>
    <v>EXXON MOBIL CORPORATION (XNYS:XOM)</v>
    <v>6</v>
    <v>7</v>
    <v>Finance</v>
    <v>8</v>
    <v>176.41</v>
    <v>97.8</v>
    <v>0.25609999999999999</v>
    <v>0.51</v>
    <v>1.5160000000000002E-3</v>
    <v>2.983E-3</v>
    <v>0.26</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58000</v>
    <v>New York Stock Exchange</v>
    <v>XNYS</v>
    <v>XNYS</v>
    <v>22777 SPRINGWOODS VILLAGE PARKWAY, SPRING, TX, 77389-1425 US</v>
    <v>176.41</v>
    <v>Oil &amp; Gas</v>
    <v>Stock</v>
    <v>46111.882131075785</v>
    <v>31</v>
    <v>171.05</v>
    <v>714600026000</v>
    <v>EXXON MOBIL CORPORATION</v>
    <v>EXXON MOBIL CORPORATION</v>
    <v>172.505</v>
    <v>25.671700000000001</v>
    <v>170.99</v>
    <v>171.5</v>
    <v>171.73</v>
    <v>4166764000</v>
    <v>XOM</v>
    <v>EXXON MOBIL CORPORATION (XNYS:XOM)</v>
    <v>29663929</v>
    <v>23183139</v>
    <v>1882</v>
  </rv>
  <rv s="3">
    <v>32</v>
  </rv>
  <rv s="1">
    <v>https://www.bing.com/financeapi/forcetrigger?t=a1mnur&amp;q=XNYS%3aAA&amp;form=skydnc</v>
    <v>Learn more on Bing</v>
  </rv>
  <rv s="4">
    <v>en-GB</v>
    <v>a1mnur</v>
    <v>268435456</v>
    <v>1</v>
    <v>Powered by Refinitiv</v>
    <v>5</v>
    <v>ALCOA CORPORATION (XNYS:AA)</v>
    <v>6</v>
    <v>7</v>
    <v>Finance</v>
    <v>8</v>
    <v>68.400000000000006</v>
    <v>21.53</v>
    <v>1.7302</v>
    <v>4.8</v>
    <v>4.1130000000000003E-3</v>
    <v>8.2178000000000001E-2</v>
    <v>0.26</v>
    <v>USD</v>
    <v>Alcoa Corporation is a vertically integrated aluminum company comprised of bauxite mining, alumina refining, aluminum production (smelting and casting), and energy generation. The Company’s operations are comprised of two business segments: Alumina and Aluminum. The Alumina segment primarily consists of its bauxite mines and alumina refineries, which generally include the mining of bauxite and other aluminous ores, as well as the refining, production, and sale of smelter grade and non-metallurgical alumina. The alumina produced by this segment is sold to internal and external aluminum smelter customers; a portion of the alumina is sold to external customers who process it into industrial chemical products. The Aluminum segment consists of the Company’s aluminum smelting and casting operations along with the Company’s energy production assets in Brazil, Canada, and the United States. It has direct and indirect ownership of 26 operating locations across nine countries on six continents.</v>
    <v>14900</v>
    <v>New York Stock Exchange</v>
    <v>XNYS</v>
    <v>XNYS</v>
    <v>201 Isabella Street, Suite 500, PITTSBURGH, PA, 15212 US</v>
    <v>66</v>
    <v>Metals &amp; Mining</v>
    <v>Stock</v>
    <v>46111.878296955467</v>
    <v>34</v>
    <v>62.13</v>
    <v>16678754946</v>
    <v>ALCOA CORPORATION</v>
    <v>ALCOA CORPORATION</v>
    <v>64</v>
    <v>13.172700000000001</v>
    <v>58.41</v>
    <v>63.21</v>
    <v>63.48</v>
    <v>263862600</v>
    <v>AA</v>
    <v>ALCOA CORPORATION (XNYS:AA)</v>
    <v>12888491</v>
    <v>6502571</v>
    <v>2016</v>
  </rv>
  <rv s="3">
    <v>35</v>
  </rv>
  <rv s="1">
    <v>https://www.bing.com/financeapi/forcetrigger?t=a1nhlh&amp;q=XNAS%3aAMZN&amp;form=skydnc</v>
    <v>Learn more on Bing</v>
  </rv>
  <rv s="4">
    <v>en-GB</v>
    <v>a1nhlh</v>
    <v>268435456</v>
    <v>1</v>
    <v>Powered by Refinitiv</v>
    <v>5</v>
    <v>AMAZON.COM, INC. (XNAS:AMZN)</v>
    <v>6</v>
    <v>7</v>
    <v>Finance</v>
    <v>8</v>
    <v>258.60000000000002</v>
    <v>161.38</v>
    <v>1.3776999999999999</v>
    <v>1.61</v>
    <v>-1.3930000000000001E-3</v>
    <v>8.0769999999999991E-3</v>
    <v>-0.28000000000000003</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1576000</v>
    <v>Nasdaq Stock Market</v>
    <v>XNAS</v>
    <v>XNAS</v>
    <v>410 Terry Avenue North, SEATTLE, WA, 98109 US</v>
    <v>203.8</v>
    <v>Diversified Retail</v>
    <v>Stock</v>
    <v>46111.881943367967</v>
    <v>37</v>
    <v>199.9802</v>
    <v>2157182174000</v>
    <v>AMAZON.COM, INC.</v>
    <v>AMAZON.COM, INC.</v>
    <v>201.48</v>
    <v>28.017900000000001</v>
    <v>199.34</v>
    <v>200.95</v>
    <v>200.67</v>
    <v>10734920000</v>
    <v>AMZN</v>
    <v>AMAZON.COM, INC. (XNAS:AMZN)</v>
    <v>46154615</v>
    <v>45828997</v>
    <v>1996</v>
  </rv>
  <rv s="3">
    <v>38</v>
  </rv>
  <rv s="1">
    <v>https://www.bing.com/financeapi/forcetrigger?t=a1ph5r&amp;q=XNAS%3aCENX&amp;form=skydnc</v>
    <v>Learn more on Bing</v>
  </rv>
  <rv s="4">
    <v>en-GB</v>
    <v>a1ph5r</v>
    <v>268435456</v>
    <v>1</v>
    <v>Powered by Refinitiv</v>
    <v>5</v>
    <v>CENTURY ALUMINUM COMPANY (XNAS:CENX)</v>
    <v>6</v>
    <v>7</v>
    <v>Finance</v>
    <v>8</v>
    <v>59.84</v>
    <v>13.05</v>
    <v>2.0478999999999998</v>
    <v>3.6</v>
    <v>1.3897E-2</v>
    <v>7.2508000000000003E-2</v>
    <v>0.74</v>
    <v>USD</v>
    <v>Century Aluminum Company is a global producer of primary aluminum and alumina with production facilities in the United States, Iceland and Jamaica. The Company also own a carbon anode production facility located in the Netherlands (Vlissingen). Carbon anodes are consumed in the production of primary aluminum. Vlissingen supplies carbon anodes to its aluminum smelter in Iceland. [AJ1] Its bauxite mining and alumina refinery in Clarendon, Jamaica (Jamalco) produces smelter grade alumina for consumption around the world. It also owns and operates aluminum reduction facilities in the United States and Iceland. It operates a United States aluminum smelters in Goose Creek, South Carolina and one smelter in Grundartangi, Iceland (Noroural, commonly referred to as Grundartangi). Its primary aluminum facilities produce standard grade and value-added primary aluminum products, including low-carbon aluminum products, Natur-Al, produced in Iceland.</v>
    <v>2906</v>
    <v>Nasdaq Stock Market</v>
    <v>XNAS</v>
    <v>XNAS</v>
    <v>SUITE 1000, 1 SOUTH WACKER DRIVE, CHICAGO, IL, 60606 US</v>
    <v>59.84</v>
    <v>Metals &amp; Mining</v>
    <v>Stock</v>
    <v>46111.879055115627</v>
    <v>40</v>
    <v>51.89</v>
    <v>5270368162</v>
    <v>CENTURY ALUMINUM COMPANY</v>
    <v>CENTURY ALUMINUM COMPANY</v>
    <v>56.39</v>
    <v>132.7268</v>
    <v>49.65</v>
    <v>53.25</v>
    <v>53.99</v>
    <v>98974050</v>
    <v>CENX</v>
    <v>CENTURY ALUMINUM COMPANY (XNAS:CENX)</v>
    <v>4632407</v>
    <v>2446464</v>
    <v>1981</v>
  </rv>
  <rv s="3">
    <v>41</v>
  </rv>
  <rv s="1">
    <v>http://en.wikipedia.org/wiki/Public_domain</v>
    <v>Public domain</v>
  </rv>
  <rv s="1">
    <v>http://pt.wikipedia.org/wiki/Oracle_Corporation</v>
    <v>Wikipedia</v>
  </rv>
  <rv s="5">
    <v>43</v>
    <v>44</v>
  </rv>
  <rv s="6">
    <v>13</v>
    <v>https://www.bing.com/th?id=AMMS_672116c618c664d13b2515d6587ba357&amp;qlt=95</v>
    <v>45</v>
    <v>0</v>
    <v>https://www.bing.com/images/search?form=xlimg&amp;q=oracle+corporation</v>
    <v>Image of ORACLE CORPORATION</v>
  </rv>
  <rv s="1">
    <v>https://www.bing.com/financeapi/forcetrigger?t=a1zbec&amp;q=XNYS%3aORCL&amp;form=skydnc</v>
    <v>Learn more on Bing</v>
  </rv>
  <rv s="7">
    <v>en-GB</v>
    <v>a1zbec</v>
    <v>268435456</v>
    <v>1</v>
    <v>Powered by Refinitiv</v>
    <v>9</v>
    <v>ORACLE CORPORATION (XNYS:ORCL)</v>
    <v>11</v>
    <v>12</v>
    <v>Finance</v>
    <v>8</v>
    <v>345.72</v>
    <v>118.86</v>
    <v>1.5898000000000001</v>
    <v>-0.9</v>
    <v>-7.9250000000000002E-4</v>
    <v>-6.4440000000000001E-3</v>
    <v>-0.11</v>
    <v>USD</v>
    <v>Oracle Corporation offers integrated suites of applications plus secure, autonomous infrastructure in the Oracle Cloud. The Company operates through three businesses: cloud and license, hardware and service. Its cloud and license business is engaged in the sale, marketing and delivery of its enterprise applications and infrastructure technologies through cloud and on-premise deployment models including its cloud services and license support offerings, and its cloud license and on-premise license offerings. Its hardware business provides infrastructure technologies including Oracle Engineered Systems, servers, storage, industry-specific hardware, operating systems, virtualization, management and other hardware-related software to support diverse IT environments. Its services business provides services to customers and partners to help maximize the performance of their investments in Oracle applications and infrastructure technologies.</v>
    <v>162000</v>
    <v>New York Stock Exchange</v>
    <v>XNYS</v>
    <v>XNYS</v>
    <v>2300 Oracle Way, AUSTIN, TX, 78741 US</v>
    <v>141.19999999999999</v>
    <v>46</v>
    <v>Software &amp; IT Services</v>
    <v>Stock</v>
    <v>46111.882138089844</v>
    <v>47</v>
    <v>136.94999999999999</v>
    <v>399080142960</v>
    <v>ORACLE CORPORATION</v>
    <v>ORACLE CORPORATION</v>
    <v>140.04</v>
    <v>24.554099999999998</v>
    <v>139.66</v>
    <v>138.76</v>
    <v>138.69</v>
    <v>2876046000</v>
    <v>ORCL</v>
    <v>ORACLE CORPORATION (XNYS:ORCL)</v>
    <v>18097195</v>
    <v>28557952</v>
    <v>2005</v>
  </rv>
  <rv s="3">
    <v>48</v>
  </rv>
  <rv s="1">
    <v>https://www.bing.com/financeapi/forcetrigger?t=a1yv52&amp;q=XNAS%3aNVDA&amp;form=skydnc</v>
    <v>Learn more on Bing</v>
  </rv>
  <rv s="4">
    <v>en-GB</v>
    <v>a1yv52</v>
    <v>268435456</v>
    <v>1</v>
    <v>Powered by Refinitiv</v>
    <v>5</v>
    <v>NVIDIA CORPORATION (XNAS:NVDA)</v>
    <v>6</v>
    <v>7</v>
    <v>Finance</v>
    <v>8</v>
    <v>212.18989999999999</v>
    <v>86.62</v>
    <v>2.3098999999999998</v>
    <v>-2.35</v>
    <v>-9.6869999999999996E-4</v>
    <v>-1.4028000000000001E-2</v>
    <v>-0.16</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169.45</v>
    <v>Semiconductors &amp; Semiconductor Equipment</v>
    <v>Stock</v>
    <v>46111.882168923439</v>
    <v>50</v>
    <v>164.27</v>
    <v>4013630999999</v>
    <v>NVIDIA CORPORATION</v>
    <v>NVIDIA CORPORATION</v>
    <v>168.78</v>
    <v>33.695799999999998</v>
    <v>167.52</v>
    <v>165.17</v>
    <v>165.01</v>
    <v>24300000000</v>
    <v>NVDA</v>
    <v>NVIDIA CORPORATION (XNAS:NVDA)</v>
    <v>184383978</v>
    <v>195405304</v>
    <v>1998</v>
  </rv>
  <rv s="3">
    <v>51</v>
  </rv>
  <rv s="1">
    <v>https://www.bing.com/financeapi/forcetrigger?t=a1u3rw&amp;q=XNAS%3aGOOGL&amp;form=skydnc</v>
    <v>Learn more on Bing</v>
  </rv>
  <rv s="4">
    <v>en-GB</v>
    <v>a1u3rw</v>
    <v>268435456</v>
    <v>1</v>
    <v>Powered by Refinitiv</v>
    <v>5</v>
    <v>ALPHABET INC. (XNAS:GOOGL)</v>
    <v>6</v>
    <v>7</v>
    <v>Finance</v>
    <v>8</v>
    <v>349</v>
    <v>140.53</v>
    <v>1.1458999999999999</v>
    <v>-0.84</v>
    <v>-1.2800000000000001E-3</v>
    <v>-3.0620000000000005E-3</v>
    <v>-0.35</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190820</v>
    <v>Nasdaq Stock Market</v>
    <v>XNAS</v>
    <v>XNAS</v>
    <v>1600 Amphitheatre Parkway, MOUNTAIN VIEW, CA, 94043 US</v>
    <v>277.08999999999997</v>
    <v>Software &amp; IT Services</v>
    <v>Stock</v>
    <v>46111.88156778906</v>
    <v>53</v>
    <v>272.11</v>
    <v>3308529500000</v>
    <v>ALPHABET INC.</v>
    <v>ALPHABET INC.</v>
    <v>276.42</v>
    <v>25.300599999999999</v>
    <v>274.33999999999997</v>
    <v>273.5</v>
    <v>273.14999999999998</v>
    <v>12097000000</v>
    <v>GOOGL</v>
    <v>ALPHABET INC. (XNAS:GOOGL)</v>
    <v>33942667</v>
    <v>30402935</v>
    <v>2015</v>
  </rv>
  <rv s="3">
    <v>54</v>
  </rv>
  <rv s="1">
    <v>https://www.bing.com/financeapi/forcetrigger?t=a2vpz2&amp;q=OTCM%3aSIEGY&amp;form=skydnc</v>
    <v>Learn more on Bing</v>
  </rv>
  <rv s="8">
    <v>en-GB</v>
    <v>a2vpz2</v>
    <v>268435456</v>
    <v>1</v>
    <v>Powered by Refinitiv</v>
    <v>14</v>
    <v>Siemens AG (OTCM:SIEGY)</v>
    <v>6</v>
    <v>15</v>
    <v>Finance</v>
    <v>16</v>
    <v>161.80000000000001</v>
    <v>94.545000000000002</v>
    <v>1.3366</v>
    <v>-7.0000000000000007E-2</v>
    <v>-5.976E-4</v>
    <v>USD</v>
    <v>Siemens AG is a Germany-based technology company, which is focused on the areas of automation and digitalization in the process and manufacturing industries, intelligent infrastructure for buildings and distributed energy systems, smart mobility solutions for rail transport, and medical technology and digital healthcare services. The Company operates through the segments: Digital Industries, which offers products and system solutions for automation used in discrete and process industries; Smart Infrastructure, which supplies and connects energy systems and building technologies; Mobility, which combines all businesses in the area of rail passenger and rail freight transportation; Siemens Healthineers, which provides healthcare products, solutions and services; and Siemens Financial Services (SFS), which offers leasing solutions and equipment, project and structured financing in the form of debt and equity investments.</v>
    <v>317000</v>
    <v>OTC Markets</v>
    <v>OTCM</v>
    <v>OTCM</v>
    <v>Werner-von-Siemens-Strasse 1, MUNICH, BAYERN, 80333 DE</v>
    <v>118.07</v>
    <v>Machinery, Equipment &amp; Components</v>
    <v>Stock</v>
    <v>46111.833333333336</v>
    <v>56</v>
    <v>115.922</v>
    <v>183097480000</v>
    <v>Siemens AG</v>
    <v>Siemens AG</v>
    <v>117.43</v>
    <v>19.795400000000001</v>
    <v>117.14</v>
    <v>117.07</v>
    <v>116.7</v>
    <v>1564000000</v>
    <v>SIEGY</v>
    <v>Siemens AG (OTCM:SIEGY)</v>
    <v>251933</v>
    <v>236160</v>
    <v>1996</v>
  </rv>
  <rv s="3">
    <v>57</v>
  </rv>
  <rv s="1">
    <v>https://www.bing.com/financeapi/forcetrigger?t=bvsk7w&amp;q=XNYS%3aPLTR&amp;form=skydnc</v>
    <v>Learn more on Bing</v>
  </rv>
  <rv s="4">
    <v>en-GB</v>
    <v>bvsk7w</v>
    <v>268435456</v>
    <v>1</v>
    <v>Powered by Refinitiv</v>
    <v>5</v>
    <v>PALANTIR TECHNOLOGIES INC. (XNAS:PLTR)</v>
    <v>6</v>
    <v>7</v>
    <v>Finance</v>
    <v>8</v>
    <v>207.52</v>
    <v>66.12</v>
    <v>1.64</v>
    <v>-5.51</v>
    <v>-7.1970000000000003E-3</v>
    <v>-3.8515000000000001E-2</v>
    <v>-0.99</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4429</v>
    <v>Nasdaq Stock Market</v>
    <v>XNAS</v>
    <v>XNAS</v>
    <v>1200 17Th Street, Floor 15, DENVER, CO, 80202 US</v>
    <v>144.12</v>
    <v>Software &amp; IT Services</v>
    <v>Stock</v>
    <v>46111.882107476566</v>
    <v>59</v>
    <v>136.30000000000001</v>
    <v>328836796050</v>
    <v>PALANTIR TECHNOLOGIES INC.</v>
    <v>PALANTIR TECHNOLOGIES INC.</v>
    <v>143.27000000000001</v>
    <v>217.3673</v>
    <v>143.06</v>
    <v>137.55000000000001</v>
    <v>136.56</v>
    <v>2390671000</v>
    <v>PLTR</v>
    <v>PALANTIR TECHNOLOGIES INC. (XNAS:PLTR)</v>
    <v>40823306</v>
    <v>49006927</v>
    <v>2003</v>
  </rv>
  <rv s="3">
    <v>60</v>
  </rv>
</rvData>
</file>

<file path=xl/richData/rdrichvaluestructure.xml><?xml version="1.0" encoding="utf-8"?>
<rvStructures xmlns="http://schemas.microsoft.com/office/spreadsheetml/2017/richdata" count="9">
  <s t="_localImage">
    <k n="_rvRel:LocalImageIdentifier" t="i"/>
    <k n="CalcOrigin" t="i"/>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k n="Volume average"/>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4">
    <a count="37">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Beta</v>
      <v t="s">Instrument type</v>
      <v t="s">_Flags</v>
      <v t="s">UniqueName</v>
      <v t="s">_DisplayString</v>
      <v t="s">LearnMoreOnLink</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3">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17">
    <spb s="0">
      <v>0</v>
      <v>Name</v>
      <v>LearnMoreOnLink</v>
    </spb>
    <spb s="1">
      <v>0</v>
      <v>0</v>
      <v>0</v>
    </spb>
    <spb s="2">
      <v>1</v>
      <v>1</v>
      <v>1</v>
    </spb>
    <spb s="3">
      <v>1</v>
      <v>2</v>
      <v>1</v>
      <v>3</v>
      <v>1</v>
      <v>1</v>
      <v>1</v>
      <v>4</v>
      <v>5</v>
      <v>6</v>
      <v>1</v>
      <v>1</v>
      <v>5</v>
      <v>1</v>
      <v>4</v>
      <v>7</v>
      <v>8</v>
      <v>1</v>
      <v>1</v>
      <v>5</v>
    </spb>
    <spb s="4">
      <v>at close</v>
      <v>from previous close</v>
      <v>Source: Nasdaq Last Sale</v>
      <v>from previous close</v>
      <v>GMT</v>
      <v>Real-Time Nasdaq Last Sale</v>
      <v>from close</v>
      <v>from close</v>
    </spb>
    <spb s="0">
      <v>1</v>
      <v>Name</v>
      <v>LearnMoreOnLink</v>
    </spb>
    <spb s="5">
      <v>1</v>
      <v>1</v>
      <v>1</v>
      <v>1</v>
    </spb>
    <spb s="6">
      <v>1</v>
      <v>2</v>
      <v>2</v>
      <v>1</v>
      <v>3</v>
      <v>1</v>
      <v>1</v>
      <v>1</v>
      <v>4</v>
      <v>4</v>
      <v>5</v>
      <v>6</v>
      <v>1</v>
      <v>1</v>
      <v>1</v>
      <v>4</v>
      <v>7</v>
      <v>9</v>
      <v>8</v>
      <v>4</v>
      <v>1</v>
      <v>1</v>
      <v>5</v>
    </spb>
    <spb s="7">
      <v>at close</v>
      <v>from previous close</v>
      <v>from previous close</v>
      <v>Source: Nasdaq Last Sale</v>
      <v>GMT</v>
      <v>Real-Time Nasdaq Last Sale</v>
      <v>from close</v>
      <v>from close</v>
    </spb>
    <spb s="0">
      <v>2</v>
      <v>Name</v>
      <v>LearnMoreOnLink</v>
    </spb>
    <spb s="8">
      <v>0</v>
      <v>0</v>
    </spb>
    <spb s="9">
      <v>10</v>
      <v>1</v>
      <v>1</v>
      <v>1</v>
      <v>1</v>
    </spb>
    <spb s="10">
      <v>1</v>
      <v>2</v>
      <v>2</v>
      <v>1</v>
      <v>3</v>
      <v>1</v>
      <v>10</v>
      <v>1</v>
      <v>1</v>
      <v>4</v>
      <v>4</v>
      <v>5</v>
      <v>6</v>
      <v>1</v>
      <v>1</v>
      <v>1</v>
      <v>4</v>
      <v>7</v>
      <v>9</v>
      <v>8</v>
      <v>4</v>
      <v>1</v>
      <v>1</v>
      <v>5</v>
    </spb>
    <spb s="11">
      <v>Powered by Refinitiv</v>
    </spb>
    <spb s="0">
      <v>3</v>
      <v>Name</v>
      <v>LearnMoreOnLink</v>
    </spb>
    <spb s="12">
      <v>1</v>
      <v>2</v>
      <v>2</v>
      <v>1</v>
      <v>3</v>
      <v>1</v>
      <v>1</v>
      <v>1</v>
      <v>4</v>
      <v>4</v>
      <v>5</v>
      <v>6</v>
      <v>1</v>
      <v>1</v>
      <v>1</v>
      <v>4</v>
      <v>7</v>
      <v>9</v>
      <v>8</v>
      <v>4</v>
      <v>1</v>
    </spb>
    <spb s="13">
      <v>at close</v>
      <v>from previous close</v>
      <v>from previous close</v>
      <v>GMT</v>
      <v>Delayed 15 minutes</v>
    </spb>
  </spbData>
</supportingPropertyBags>
</file>

<file path=xl/richData/rdsupportingpropertybagstructure.xml><?xml version="1.0" encoding="utf-8"?>
<spbStructures xmlns="http://schemas.microsoft.com/office/spreadsheetml/2017/richdata2" count="14">
  <s>
    <k n="^Order" t="spba"/>
    <k n="TitleProperty" t="s"/>
    <k n="SubTitleProperty" t="s"/>
  </s>
  <s>
    <k n="ShowInCardView" t="b"/>
    <k n="ShowInDotNotation" t="b"/>
    <k n="ShowInAutoComplete" t="b"/>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Price" t="s"/>
    <k n="Change" t="s"/>
    <k n="Exchange" t="s"/>
    <k n="Change (%)" t="s"/>
    <k n="Last trade time" t="s"/>
    <k n="Price (Extended hours)" t="s"/>
    <k n="Change (Extended hours)" t="s"/>
    <k n="Change % (Extended hours)"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s>
  <s>
    <k n="Price" t="s"/>
    <k n="Change" t="s"/>
    <k n="Change (%)" t="s"/>
    <k n="Last trade time" t="s"/>
    <k n="Price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0">
      <rpv i="0">0.00</rpv>
    </rSty>
    <rSty dxfid="6">
      <rpv i="0">0</rpv>
    </rSty>
    <rSty>
      <rpv i="2">1</rpv>
    </rSty>
  </richStyles>
</richStyleSheet>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15B5B6-AF43-4947-929D-751F35C6AD9F}" name="TradingLogTable3" displayName="TradingLogTable3" ref="A1:M86" totalsRowCount="1" headerRowDxfId="59" dataDxfId="58" totalsRowDxfId="57" headerRowBorderDxfId="56">
  <autoFilter ref="A1:M85"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CE1AB2A-DB17-466C-B915-E95D55014684}" name="Date (YYYY-MM-DD)" dataDxfId="54" totalsRowDxfId="55"/>
    <tableColumn id="3" xr3:uid="{A4A0302E-901F-446C-850E-873F8D273E82}" name="Action (Open / Close / Adjust / No Action)" dataDxfId="52" totalsRowDxfId="53"/>
    <tableColumn id="4" xr3:uid="{2706F7CA-CD1C-4AF2-89CC-206B23B2C711}" name="Ticker" dataDxfId="50" totalsRowDxfId="51"/>
    <tableColumn id="5" xr3:uid="{4207054A-AD73-4542-972F-E4C71F84C4B4}" name="Asset Name" dataDxfId="48" totalsRowDxfId="49"/>
    <tableColumn id="6" xr3:uid="{686DFE46-23EB-46E3-9D25-05D380A2A3AE}" name="Type (Stock, ETF, Bond, FX, etc.)" dataDxfId="46" totalsRowDxfId="47"/>
    <tableColumn id="7" xr3:uid="{56B8C037-3EFD-4ED5-8617-B6CF35C088BD}" name="Quantity (positive number)" dataDxfId="44" totalsRowDxfId="45"/>
    <tableColumn id="8" xr3:uid="{5EB70737-7C81-443C-93A6-FAA272533071}" name="Price per Unit" dataDxfId="42" totalsRowDxfId="43">
      <calculatedColumnFormula>'Live Data'!Q2</calculatedColumnFormula>
    </tableColumn>
    <tableColumn id="9" xr3:uid="{CB2BCBAB-8284-4F61-A023-01BD2FCD5928}" name="Trade Currency" dataDxfId="40" totalsRowDxfId="41"/>
    <tableColumn id="10" xr3:uid="{5EFC16F5-91ED-4535-BF46-BB561CB4236B}" name="Gross Trade Value (=Qty*Price)" totalsRowFunction="custom" dataDxfId="38" totalsRowDxfId="39">
      <calculatedColumnFormula>TradingLogTable3[[#This Row],[Quantity (positive number)]]*TradingLogTable3[[#This Row],[Price per Unit]]</calculatedColumnFormula>
      <totalsRowFormula>_xlfn.FORMULATEXT(#REF!)</totalsRowFormula>
    </tableColumn>
    <tableColumn id="11" xr3:uid="{A8EA1B79-F1BA-481E-AF77-907A0C297519}" name="Fees / Commission" dataDxfId="36" totalsRowDxfId="37"/>
    <tableColumn id="12" xr3:uid="{7D79E1B0-9BF7-48C5-B707-0C5B3B608474}" name="Net Trade Value" dataDxfId="34" totalsRowDxfId="35">
      <calculatedColumnFormula>I2+J2</calculatedColumnFormula>
    </tableColumn>
    <tableColumn id="13" xr3:uid="{1A2B215A-82F5-432B-8A00-52D06521C83C}" name="Position After Trade (units)" dataDxfId="32" totalsRowDxfId="33"/>
    <tableColumn id="14" xr3:uid="{EFA2F59F-B23F-4F33-8FBA-7F1F44DA4F67}" name="Brief Reason (or reason for no change)" dataDxfId="30" totalsRowDxfId="31"/>
  </tableColumns>
  <tableStyleInfo name="TableStyleMedium7" showFirstColumn="0" showLastColumn="0" showRowStripes="0"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dingLogTable" displayName="TradingLogTable" ref="A1:M66" totalsRowCount="1" headerRowDxfId="29" dataDxfId="28" totalsRowDxfId="27" headerRowBorderDxfId="26">
  <autoFilter ref="A1:M65"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000-000001000000}" name="Date (YYYY-MM-DD)" dataDxfId="24" totalsRowDxfId="25"/>
    <tableColumn id="3" xr3:uid="{00000000-0010-0000-0000-000003000000}" name="Action (Open / Close / Adjust / No Action)" dataDxfId="22" totalsRowDxfId="23"/>
    <tableColumn id="4" xr3:uid="{00000000-0010-0000-0000-000004000000}" name="Ticker" dataDxfId="20" totalsRowDxfId="21"/>
    <tableColumn id="5" xr3:uid="{00000000-0010-0000-0000-000005000000}" name="Asset Name" dataDxfId="18" totalsRowDxfId="19"/>
    <tableColumn id="6" xr3:uid="{00000000-0010-0000-0000-000006000000}" name="Type (Stock, ETF, Bond, FX, etc.)" dataDxfId="16" totalsRowDxfId="17"/>
    <tableColumn id="7" xr3:uid="{00000000-0010-0000-0000-000007000000}" name="Quantity (positive number)" dataDxfId="14" totalsRowDxfId="15"/>
    <tableColumn id="8" xr3:uid="{00000000-0010-0000-0000-000008000000}" name="Price per Unit" dataDxfId="12" totalsRowDxfId="13">
      <calculatedColumnFormula>'Live Data'!Q2</calculatedColumnFormula>
    </tableColumn>
    <tableColumn id="9" xr3:uid="{00000000-0010-0000-0000-000009000000}" name="Trade Currency" dataDxfId="10" totalsRowDxfId="11"/>
    <tableColumn id="10" xr3:uid="{00000000-0010-0000-0000-00000A000000}" name="Gross Trade Value (=Qty*Price)" totalsRowFunction="custom" dataDxfId="8" totalsRowDxfId="9">
      <calculatedColumnFormula>TradingLogTable[[#This Row],[Quantity (positive number)]]*TradingLogTable[[#This Row],[Price per Unit]]</calculatedColumnFormula>
      <totalsRowFormula>_xlfn.FORMULATEXT(I18)</totalsRowFormula>
    </tableColumn>
    <tableColumn id="11" xr3:uid="{00000000-0010-0000-0000-00000B000000}" name="Fees / Commission" dataDxfId="6" totalsRowDxfId="7"/>
    <tableColumn id="12" xr3:uid="{00000000-0010-0000-0000-00000C000000}" name="Net Trade Value" dataDxfId="4" totalsRowDxfId="5">
      <calculatedColumnFormula>I2+J2</calculatedColumnFormula>
    </tableColumn>
    <tableColumn id="13" xr3:uid="{00000000-0010-0000-0000-00000D000000}" name="Position After Trade (units)" dataDxfId="2" totalsRowDxfId="3"/>
    <tableColumn id="14" xr3:uid="{00000000-0010-0000-0000-00000E000000}" name="Brief Reason (or reason for no change)" dataDxfId="0" totalsRowDxfId="1"/>
  </tableColumns>
  <tableStyleInfo name="TableStyleMedium7" showFirstColumn="0" showLastColumn="0" showRowStripes="0" showColumnStripes="1"/>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A2"/>
  <sheetViews>
    <sheetView zoomScale="97" workbookViewId="0">
      <selection activeCell="E2" sqref="E2"/>
    </sheetView>
  </sheetViews>
  <sheetFormatPr defaultColWidth="8.85546875" defaultRowHeight="14.45"/>
  <cols>
    <col min="1" max="1" width="110.7109375" customWidth="1"/>
  </cols>
  <sheetData>
    <row r="1" spans="1:1" ht="15.6">
      <c r="A1" s="1" t="s">
        <v>0</v>
      </c>
    </row>
    <row r="2" spans="1:1" ht="259.14999999999998">
      <c r="A2" s="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7912C-8864-499F-B461-37637739AD6E}">
  <sheetPr codeName="Sheet2"/>
  <dimension ref="A1:U22"/>
  <sheetViews>
    <sheetView showGridLines="0" zoomScale="61" workbookViewId="0">
      <selection activeCell="E18" sqref="E18"/>
    </sheetView>
  </sheetViews>
  <sheetFormatPr defaultColWidth="8.85546875" defaultRowHeight="25.15"/>
  <cols>
    <col min="1" max="2" width="8.85546875" style="30"/>
    <col min="3" max="3" width="12.7109375" style="30" bestFit="1" customWidth="1"/>
    <col min="4" max="4" width="15.85546875" style="30" customWidth="1"/>
    <col min="5" max="6" width="17.140625" style="30" customWidth="1"/>
    <col min="7" max="7" width="8.85546875" style="30"/>
    <col min="8" max="8" width="35.85546875" style="30" bestFit="1" customWidth="1"/>
    <col min="9" max="9" width="8.85546875" style="30"/>
    <col min="10" max="10" width="3.7109375" style="30" customWidth="1"/>
    <col min="11" max="11" width="14.42578125" style="30" customWidth="1"/>
    <col min="12" max="18" width="8.85546875" style="30"/>
    <col min="19" max="19" width="20" style="30" customWidth="1"/>
    <col min="20" max="20" width="8.85546875" style="30"/>
    <col min="21" max="21" width="13.140625" style="30" bestFit="1" customWidth="1"/>
    <col min="22" max="16384" width="8.85546875" style="30"/>
  </cols>
  <sheetData>
    <row r="1" spans="1:21">
      <c r="A1" s="101" t="e" vm="1">
        <v>#VALUE!</v>
      </c>
      <c r="B1" s="101"/>
      <c r="C1" s="101"/>
    </row>
    <row r="2" spans="1:21">
      <c r="A2" s="101"/>
      <c r="B2" s="101"/>
      <c r="C2" s="101"/>
    </row>
    <row r="3" spans="1:21">
      <c r="A3" s="101"/>
      <c r="B3" s="101"/>
      <c r="C3" s="101"/>
    </row>
    <row r="5" spans="1:21">
      <c r="B5" s="102" t="s">
        <v>2</v>
      </c>
      <c r="C5" s="102"/>
      <c r="D5" s="102"/>
      <c r="E5" s="102"/>
      <c r="F5" s="102"/>
      <c r="G5" s="102"/>
      <c r="H5" s="102"/>
      <c r="I5" s="102"/>
      <c r="K5" s="103">
        <f>1+1+1+1</f>
        <v>4</v>
      </c>
    </row>
    <row r="6" spans="1:21" ht="45">
      <c r="B6" s="102"/>
      <c r="C6" s="102"/>
      <c r="D6" s="102"/>
      <c r="E6" s="102"/>
      <c r="F6" s="102"/>
      <c r="G6" s="102"/>
      <c r="H6" s="102"/>
      <c r="I6" s="102"/>
      <c r="J6" s="36" t="s">
        <v>3</v>
      </c>
      <c r="K6" s="103"/>
    </row>
    <row r="7" spans="1:21">
      <c r="B7" s="102"/>
      <c r="C7" s="102"/>
      <c r="D7" s="102"/>
      <c r="E7" s="102"/>
      <c r="F7" s="102"/>
      <c r="G7" s="102"/>
      <c r="H7" s="102"/>
      <c r="I7" s="102"/>
      <c r="K7" s="103"/>
    </row>
    <row r="8" spans="1:21" ht="8.4499999999999993" customHeight="1">
      <c r="B8" s="102"/>
      <c r="C8" s="102"/>
      <c r="D8" s="102"/>
      <c r="E8" s="102"/>
      <c r="F8" s="102"/>
      <c r="G8" s="102"/>
      <c r="H8" s="102"/>
      <c r="I8" s="102"/>
      <c r="K8" s="103"/>
    </row>
    <row r="11" spans="1:21">
      <c r="C11" s="32"/>
      <c r="D11" s="32"/>
      <c r="G11" s="32" t="s">
        <v>4</v>
      </c>
    </row>
    <row r="12" spans="1:21" ht="33">
      <c r="B12" s="34" t="s">
        <v>5</v>
      </c>
      <c r="C12" s="33"/>
      <c r="D12" s="33"/>
      <c r="H12" s="30" t="s">
        <v>6</v>
      </c>
      <c r="S12" s="41"/>
      <c r="U12" s="41"/>
    </row>
    <row r="13" spans="1:21" ht="33">
      <c r="B13" s="35" t="s">
        <v>7</v>
      </c>
      <c r="C13" s="33"/>
      <c r="D13" s="33"/>
      <c r="H13" s="30" t="s">
        <v>8</v>
      </c>
    </row>
    <row r="14" spans="1:21">
      <c r="H14" s="30" t="s">
        <v>9</v>
      </c>
    </row>
    <row r="15" spans="1:21">
      <c r="B15" s="104" t="s">
        <v>10</v>
      </c>
      <c r="C15" s="105">
        <v>46111</v>
      </c>
      <c r="D15" s="105"/>
      <c r="H15" s="30" t="s">
        <v>11</v>
      </c>
    </row>
    <row r="16" spans="1:21">
      <c r="B16" s="104"/>
      <c r="C16" s="105"/>
      <c r="D16" s="105"/>
      <c r="H16" s="30" t="s">
        <v>12</v>
      </c>
    </row>
    <row r="17" spans="2:8">
      <c r="H17" s="30" t="s">
        <v>13</v>
      </c>
    </row>
    <row r="18" spans="2:8">
      <c r="H18" s="30" t="s">
        <v>14</v>
      </c>
    </row>
    <row r="19" spans="2:8">
      <c r="H19" s="30" t="s">
        <v>15</v>
      </c>
    </row>
    <row r="20" spans="2:8">
      <c r="B20" s="31"/>
    </row>
    <row r="22" spans="2:8">
      <c r="E22" s="41"/>
    </row>
  </sheetData>
  <mergeCells count="5">
    <mergeCell ref="A1:C3"/>
    <mergeCell ref="B5:I8"/>
    <mergeCell ref="K5:K8"/>
    <mergeCell ref="B15:B16"/>
    <mergeCell ref="C15:D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54A29-6065-4D0F-A7AA-59ABE687390B}">
  <dimension ref="A1:Q113"/>
  <sheetViews>
    <sheetView tabSelected="1" zoomScale="41" zoomScaleNormal="70" workbookViewId="0">
      <pane ySplit="1" topLeftCell="A14" activePane="bottomLeft" state="frozen"/>
      <selection pane="bottomLeft" activeCell="J14" sqref="J14"/>
    </sheetView>
  </sheetViews>
  <sheetFormatPr defaultColWidth="20.140625" defaultRowHeight="22.15"/>
  <cols>
    <col min="1" max="1" width="26" style="45" bestFit="1" customWidth="1"/>
    <col min="2" max="2" width="27.85546875" style="3" customWidth="1"/>
    <col min="3" max="3" width="20.140625" style="3"/>
    <col min="4" max="4" width="48.28515625" style="4" customWidth="1"/>
    <col min="5" max="6" width="20.140625" style="3"/>
    <col min="7" max="7" width="20.140625" style="5"/>
    <col min="8" max="9" width="20.140625" style="3"/>
    <col min="10" max="10" width="24.28515625" style="4" customWidth="1"/>
    <col min="11" max="11" width="20.140625" style="5"/>
    <col min="12" max="12" width="20.140625" style="3"/>
    <col min="13" max="13" width="147.7109375" style="6" bestFit="1" customWidth="1"/>
    <col min="14" max="14" width="39.7109375" style="6" customWidth="1"/>
    <col min="15" max="15" width="20.140625" style="3"/>
    <col min="16" max="16" width="62.28515625" style="3" bestFit="1" customWidth="1"/>
    <col min="17" max="17" width="25" style="3" customWidth="1"/>
    <col min="18" max="18" width="28" style="3" customWidth="1"/>
    <col min="19" max="26" width="20.140625" style="3"/>
    <col min="27" max="27" width="20.140625" style="3" customWidth="1"/>
    <col min="28" max="30" width="20.140625" style="3"/>
    <col min="31" max="31" width="24.42578125" style="3" customWidth="1"/>
    <col min="32" max="16384" width="20.140625" style="3"/>
  </cols>
  <sheetData>
    <row r="1" spans="1:13" s="6" customFormat="1" ht="132">
      <c r="A1" s="42" t="s">
        <v>16</v>
      </c>
      <c r="B1" s="13" t="s">
        <v>17</v>
      </c>
      <c r="C1" s="13" t="s">
        <v>18</v>
      </c>
      <c r="D1" s="13" t="s">
        <v>19</v>
      </c>
      <c r="E1" s="13" t="s">
        <v>20</v>
      </c>
      <c r="F1" s="13" t="s">
        <v>21</v>
      </c>
      <c r="G1" s="14" t="s">
        <v>22</v>
      </c>
      <c r="H1" s="13" t="s">
        <v>23</v>
      </c>
      <c r="I1" s="13" t="s">
        <v>24</v>
      </c>
      <c r="J1" s="13" t="s">
        <v>25</v>
      </c>
      <c r="K1" s="14" t="s">
        <v>26</v>
      </c>
      <c r="L1" s="13" t="s">
        <v>27</v>
      </c>
      <c r="M1" s="13" t="s">
        <v>28</v>
      </c>
    </row>
    <row r="2" spans="1:13" ht="22.9" thickBot="1"/>
    <row r="3" spans="1:13" ht="22.9" thickBot="1">
      <c r="A3" s="43">
        <v>46084</v>
      </c>
      <c r="B3" s="7" t="s">
        <v>29</v>
      </c>
      <c r="C3" s="7" t="s">
        <v>30</v>
      </c>
      <c r="D3" s="7" t="s">
        <v>31</v>
      </c>
      <c r="E3" s="7" t="s">
        <v>32</v>
      </c>
      <c r="F3" s="7">
        <v>295</v>
      </c>
      <c r="G3" s="69">
        <v>684.89</v>
      </c>
      <c r="H3" s="7" t="s">
        <v>33</v>
      </c>
      <c r="I3" s="8">
        <f>TradingLogTable3[[#This Row],[Quantity (positive number)]]*TradingLogTable3[[#This Row],[Price per Unit]]</f>
        <v>202042.55</v>
      </c>
      <c r="J3" s="7">
        <v>10</v>
      </c>
      <c r="K3" s="10">
        <f>I3+J3</f>
        <v>202052.55</v>
      </c>
      <c r="L3" s="7">
        <v>295</v>
      </c>
      <c r="M3" s="39" t="s">
        <v>34</v>
      </c>
    </row>
    <row r="4" spans="1:13" ht="22.9" thickBot="1">
      <c r="A4" s="43">
        <v>46084</v>
      </c>
      <c r="B4" s="7" t="s">
        <v>29</v>
      </c>
      <c r="C4" s="7" t="s">
        <v>35</v>
      </c>
      <c r="D4" s="7" t="s">
        <v>36</v>
      </c>
      <c r="E4" s="7" t="s">
        <v>32</v>
      </c>
      <c r="F4" s="7">
        <v>875</v>
      </c>
      <c r="G4" s="69">
        <v>89.52</v>
      </c>
      <c r="H4" s="7" t="s">
        <v>33</v>
      </c>
      <c r="I4" s="8">
        <v>78330</v>
      </c>
      <c r="J4" s="7">
        <v>10</v>
      </c>
      <c r="K4" s="10">
        <v>78340</v>
      </c>
      <c r="L4" s="7">
        <v>875</v>
      </c>
      <c r="M4" s="39" t="s">
        <v>37</v>
      </c>
    </row>
    <row r="5" spans="1:13" ht="22.9" thickBot="1">
      <c r="A5" s="43">
        <v>46084</v>
      </c>
      <c r="B5" s="7" t="s">
        <v>29</v>
      </c>
      <c r="C5" s="7" t="s">
        <v>38</v>
      </c>
      <c r="D5" s="7" t="s">
        <v>39</v>
      </c>
      <c r="E5" s="7" t="s">
        <v>40</v>
      </c>
      <c r="F5" s="7">
        <v>260</v>
      </c>
      <c r="G5" s="69">
        <v>244.64</v>
      </c>
      <c r="H5" s="7" t="s">
        <v>33</v>
      </c>
      <c r="I5" s="8">
        <v>63606.400000000001</v>
      </c>
      <c r="J5" s="7">
        <v>10</v>
      </c>
      <c r="K5" s="10">
        <v>63616.4</v>
      </c>
      <c r="L5" s="7">
        <v>260</v>
      </c>
      <c r="M5" s="39" t="s">
        <v>41</v>
      </c>
    </row>
    <row r="6" spans="1:13" ht="22.9" thickBot="1">
      <c r="A6" s="43">
        <v>46084</v>
      </c>
      <c r="B6" s="7" t="s">
        <v>29</v>
      </c>
      <c r="C6" s="7" t="s">
        <v>42</v>
      </c>
      <c r="D6" s="7" t="s">
        <v>43</v>
      </c>
      <c r="E6" s="7" t="s">
        <v>40</v>
      </c>
      <c r="F6" s="7">
        <v>235</v>
      </c>
      <c r="G6" s="69">
        <v>162.44999999999999</v>
      </c>
      <c r="H6" s="7" t="s">
        <v>33</v>
      </c>
      <c r="I6" s="8">
        <v>38175.75</v>
      </c>
      <c r="J6" s="7">
        <v>10</v>
      </c>
      <c r="K6" s="10">
        <v>38185.75</v>
      </c>
      <c r="L6" s="7">
        <v>235</v>
      </c>
      <c r="M6" s="39" t="s">
        <v>44</v>
      </c>
    </row>
    <row r="7" spans="1:13" ht="22.9" thickBot="1">
      <c r="A7" s="43">
        <v>46084</v>
      </c>
      <c r="B7" s="7" t="s">
        <v>29</v>
      </c>
      <c r="C7" s="7" t="s">
        <v>45</v>
      </c>
      <c r="D7" s="7" t="s">
        <v>46</v>
      </c>
      <c r="E7" s="7" t="s">
        <v>40</v>
      </c>
      <c r="F7" s="7">
        <v>570</v>
      </c>
      <c r="G7" s="69">
        <v>132.94999999999999</v>
      </c>
      <c r="H7" s="7" t="s">
        <v>33</v>
      </c>
      <c r="I7" s="8">
        <v>75781.5</v>
      </c>
      <c r="J7" s="7">
        <v>10</v>
      </c>
      <c r="K7" s="10">
        <v>75791.5</v>
      </c>
      <c r="L7" s="7">
        <v>570</v>
      </c>
      <c r="M7" s="39" t="s">
        <v>47</v>
      </c>
    </row>
    <row r="8" spans="1:13" ht="22.9" thickBot="1">
      <c r="A8" s="43">
        <v>46084</v>
      </c>
      <c r="B8" s="7" t="s">
        <v>29</v>
      </c>
      <c r="C8" s="7" t="s">
        <v>48</v>
      </c>
      <c r="D8" s="7" t="s">
        <v>49</v>
      </c>
      <c r="E8" s="7" t="s">
        <v>32</v>
      </c>
      <c r="F8" s="7">
        <v>800</v>
      </c>
      <c r="G8" s="69">
        <v>45.45</v>
      </c>
      <c r="H8" s="7" t="s">
        <v>33</v>
      </c>
      <c r="I8" s="8">
        <v>36360</v>
      </c>
      <c r="J8" s="7">
        <v>10</v>
      </c>
      <c r="K8" s="10">
        <v>36370</v>
      </c>
      <c r="L8" s="7">
        <v>800</v>
      </c>
      <c r="M8" s="39" t="s">
        <v>50</v>
      </c>
    </row>
    <row r="9" spans="1:13" ht="22.9" thickBot="1">
      <c r="A9" s="43">
        <v>46084</v>
      </c>
      <c r="B9" s="7" t="s">
        <v>29</v>
      </c>
      <c r="C9" s="7" t="s">
        <v>51</v>
      </c>
      <c r="D9" s="7" t="s">
        <v>52</v>
      </c>
      <c r="E9" s="7" t="s">
        <v>40</v>
      </c>
      <c r="F9" s="7">
        <v>230</v>
      </c>
      <c r="G9" s="69">
        <v>363.94</v>
      </c>
      <c r="H9" s="7" t="s">
        <v>33</v>
      </c>
      <c r="I9" s="8">
        <v>83706.2</v>
      </c>
      <c r="J9" s="7">
        <v>10</v>
      </c>
      <c r="K9" s="10">
        <v>83716.2</v>
      </c>
      <c r="L9" s="7">
        <v>230</v>
      </c>
      <c r="M9" s="39" t="s">
        <v>53</v>
      </c>
    </row>
    <row r="10" spans="1:13" ht="22.9" thickBot="1">
      <c r="A10" s="43">
        <v>46084</v>
      </c>
      <c r="B10" s="7" t="s">
        <v>54</v>
      </c>
      <c r="C10" s="7" t="s">
        <v>55</v>
      </c>
      <c r="D10" s="7" t="s">
        <v>56</v>
      </c>
      <c r="E10" s="7" t="s">
        <v>40</v>
      </c>
      <c r="F10" s="7">
        <v>95</v>
      </c>
      <c r="G10" s="69">
        <v>381.14</v>
      </c>
      <c r="H10" s="7" t="s">
        <v>33</v>
      </c>
      <c r="I10" s="8">
        <v>-36208.300000000003</v>
      </c>
      <c r="J10" s="7">
        <v>10</v>
      </c>
      <c r="K10" s="10">
        <v>-36198.300000000003</v>
      </c>
      <c r="L10" s="7">
        <v>15</v>
      </c>
      <c r="M10" s="39" t="s">
        <v>57</v>
      </c>
    </row>
    <row r="11" spans="1:13" ht="22.9" thickBot="1">
      <c r="A11" s="43">
        <v>46084</v>
      </c>
      <c r="B11" s="7" t="s">
        <v>29</v>
      </c>
      <c r="C11" s="7" t="s">
        <v>58</v>
      </c>
      <c r="D11" s="7" t="s">
        <v>59</v>
      </c>
      <c r="E11" s="7" t="s">
        <v>40</v>
      </c>
      <c r="F11" s="7">
        <v>388</v>
      </c>
      <c r="G11" s="69">
        <v>131.47999999999999</v>
      </c>
      <c r="H11" s="7" t="s">
        <v>33</v>
      </c>
      <c r="I11" s="8">
        <v>51014.239999999998</v>
      </c>
      <c r="J11" s="7">
        <v>10</v>
      </c>
      <c r="K11" s="10">
        <v>51024.24</v>
      </c>
      <c r="L11" s="7">
        <v>388</v>
      </c>
      <c r="M11" s="39" t="s">
        <v>60</v>
      </c>
    </row>
    <row r="12" spans="1:13" ht="22.9" thickBot="1">
      <c r="A12" s="43">
        <v>46084</v>
      </c>
      <c r="B12" s="7" t="s">
        <v>29</v>
      </c>
      <c r="C12" s="7" t="s">
        <v>61</v>
      </c>
      <c r="D12" s="7" t="s">
        <v>62</v>
      </c>
      <c r="E12" s="7" t="s">
        <v>40</v>
      </c>
      <c r="F12" s="7">
        <v>150</v>
      </c>
      <c r="G12" s="69">
        <v>306.82</v>
      </c>
      <c r="H12" s="7" t="s">
        <v>33</v>
      </c>
      <c r="I12" s="8">
        <v>46023</v>
      </c>
      <c r="J12" s="7">
        <v>10</v>
      </c>
      <c r="K12" s="10">
        <v>46033</v>
      </c>
      <c r="L12" s="7">
        <v>150</v>
      </c>
      <c r="M12" s="39" t="s">
        <v>63</v>
      </c>
    </row>
    <row r="13" spans="1:13" ht="22.9" thickBot="1">
      <c r="A13" s="43">
        <v>46084</v>
      </c>
      <c r="B13" s="7" t="s">
        <v>29</v>
      </c>
      <c r="C13" s="7" t="s">
        <v>64</v>
      </c>
      <c r="D13" s="7" t="s">
        <v>65</v>
      </c>
      <c r="E13" s="7" t="s">
        <v>40</v>
      </c>
      <c r="F13" s="7">
        <v>250</v>
      </c>
      <c r="G13" s="69">
        <v>200.87</v>
      </c>
      <c r="H13" s="7" t="s">
        <v>33</v>
      </c>
      <c r="I13" s="8">
        <v>50217.5</v>
      </c>
      <c r="J13" s="7">
        <v>10</v>
      </c>
      <c r="K13" s="10">
        <v>50227.5</v>
      </c>
      <c r="L13" s="7">
        <v>250</v>
      </c>
      <c r="M13" s="39" t="s">
        <v>66</v>
      </c>
    </row>
    <row r="14" spans="1:13" ht="22.9" thickBot="1">
      <c r="A14" s="43">
        <v>46084</v>
      </c>
      <c r="B14" s="7" t="s">
        <v>29</v>
      </c>
      <c r="C14" s="7" t="s">
        <v>67</v>
      </c>
      <c r="D14" s="7" t="s">
        <v>68</v>
      </c>
      <c r="E14" s="7" t="s">
        <v>40</v>
      </c>
      <c r="F14" s="7">
        <v>130</v>
      </c>
      <c r="G14" s="69">
        <v>302.22000000000003</v>
      </c>
      <c r="H14" s="7" t="s">
        <v>33</v>
      </c>
      <c r="I14" s="8">
        <v>39288.6</v>
      </c>
      <c r="J14" s="7">
        <v>10</v>
      </c>
      <c r="K14" s="10">
        <v>39298.6</v>
      </c>
      <c r="L14" s="7">
        <v>130</v>
      </c>
      <c r="M14" s="39" t="s">
        <v>69</v>
      </c>
    </row>
    <row r="15" spans="1:13" ht="22.9" thickBot="1">
      <c r="A15" s="43">
        <v>46084</v>
      </c>
      <c r="B15" s="7" t="s">
        <v>29</v>
      </c>
      <c r="C15" s="7" t="s">
        <v>70</v>
      </c>
      <c r="D15" s="7" t="s">
        <v>71</v>
      </c>
      <c r="E15" s="7" t="s">
        <v>40</v>
      </c>
      <c r="F15" s="7">
        <v>140</v>
      </c>
      <c r="G15" s="69">
        <v>329.44</v>
      </c>
      <c r="H15" s="7" t="s">
        <v>33</v>
      </c>
      <c r="I15" s="8">
        <v>46121.599999999999</v>
      </c>
      <c r="J15" s="7">
        <v>10</v>
      </c>
      <c r="K15" s="10">
        <v>46131.6</v>
      </c>
      <c r="L15" s="7">
        <v>140</v>
      </c>
      <c r="M15" s="39" t="s">
        <v>72</v>
      </c>
    </row>
    <row r="16" spans="1:13" ht="22.9" thickBot="1">
      <c r="A16" s="43">
        <v>46084</v>
      </c>
      <c r="B16" s="7" t="s">
        <v>29</v>
      </c>
      <c r="C16" s="7" t="s">
        <v>73</v>
      </c>
      <c r="D16" s="7" t="s">
        <v>74</v>
      </c>
      <c r="E16" s="7" t="s">
        <v>40</v>
      </c>
      <c r="F16" s="7">
        <v>800</v>
      </c>
      <c r="G16" s="69">
        <v>33.6</v>
      </c>
      <c r="H16" s="7" t="s">
        <v>33</v>
      </c>
      <c r="I16" s="8">
        <v>26880</v>
      </c>
      <c r="J16" s="7">
        <v>10</v>
      </c>
      <c r="K16" s="10">
        <v>26890</v>
      </c>
      <c r="L16" s="7">
        <v>800</v>
      </c>
      <c r="M16" s="39" t="s">
        <v>75</v>
      </c>
    </row>
    <row r="17" spans="1:14" ht="22.9" thickBot="1">
      <c r="A17" s="43">
        <v>46084</v>
      </c>
      <c r="B17" s="7" t="s">
        <v>29</v>
      </c>
      <c r="C17" s="7" t="s">
        <v>76</v>
      </c>
      <c r="D17" s="7" t="s">
        <v>77</v>
      </c>
      <c r="E17" s="7" t="s">
        <v>32</v>
      </c>
      <c r="F17" s="7">
        <v>60</v>
      </c>
      <c r="G17" s="69">
        <v>57.95</v>
      </c>
      <c r="H17" s="7" t="s">
        <v>33</v>
      </c>
      <c r="I17" s="8">
        <v>3477</v>
      </c>
      <c r="J17" s="7">
        <v>10</v>
      </c>
      <c r="K17" s="10">
        <v>3487</v>
      </c>
      <c r="L17" s="7">
        <v>60</v>
      </c>
      <c r="M17" s="39" t="s">
        <v>78</v>
      </c>
    </row>
    <row r="18" spans="1:14" ht="22.9" thickBot="1">
      <c r="A18" s="43">
        <v>46084</v>
      </c>
      <c r="B18" s="7" t="s">
        <v>29</v>
      </c>
      <c r="C18" s="7" t="s">
        <v>79</v>
      </c>
      <c r="D18" s="7" t="s">
        <v>80</v>
      </c>
      <c r="E18" s="7" t="s">
        <v>40</v>
      </c>
      <c r="F18" s="7">
        <v>75</v>
      </c>
      <c r="G18" s="69">
        <v>159.75</v>
      </c>
      <c r="H18" s="7" t="s">
        <v>33</v>
      </c>
      <c r="I18" s="8">
        <v>11981.25</v>
      </c>
      <c r="J18" s="7">
        <v>10</v>
      </c>
      <c r="K18" s="10">
        <v>11991.25</v>
      </c>
      <c r="L18" s="7">
        <v>75</v>
      </c>
      <c r="M18" s="39" t="s">
        <v>81</v>
      </c>
    </row>
    <row r="19" spans="1:14" ht="22.9" thickBot="1">
      <c r="A19" s="43">
        <v>46084</v>
      </c>
      <c r="B19" s="7" t="s">
        <v>82</v>
      </c>
      <c r="C19" s="7" t="s">
        <v>70</v>
      </c>
      <c r="D19" s="7" t="s">
        <v>71</v>
      </c>
      <c r="E19" s="7" t="s">
        <v>40</v>
      </c>
      <c r="F19" s="7">
        <v>140</v>
      </c>
      <c r="G19" s="69">
        <v>329.81</v>
      </c>
      <c r="H19" s="7" t="s">
        <v>33</v>
      </c>
      <c r="I19" s="8">
        <v>-46173.4</v>
      </c>
      <c r="J19" s="7">
        <v>10</v>
      </c>
      <c r="K19" s="10">
        <v>-46163.4</v>
      </c>
      <c r="L19" s="7">
        <v>0</v>
      </c>
      <c r="M19" s="39" t="s">
        <v>83</v>
      </c>
      <c r="N19" s="11"/>
    </row>
    <row r="20" spans="1:14" ht="22.9" thickBot="1">
      <c r="A20" s="43">
        <v>46085</v>
      </c>
      <c r="B20" s="7" t="s">
        <v>82</v>
      </c>
      <c r="C20" s="7" t="s">
        <v>84</v>
      </c>
      <c r="D20" s="7" t="s">
        <v>85</v>
      </c>
      <c r="E20" s="7" t="s">
        <v>40</v>
      </c>
      <c r="F20" s="7">
        <v>100</v>
      </c>
      <c r="G20" s="69">
        <v>654.17999999999995</v>
      </c>
      <c r="H20" s="7" t="s">
        <v>33</v>
      </c>
      <c r="I20" s="8">
        <v>-65418</v>
      </c>
      <c r="J20" s="7">
        <v>10</v>
      </c>
      <c r="K20" s="10">
        <v>-65408</v>
      </c>
      <c r="L20" s="7">
        <v>0</v>
      </c>
      <c r="M20" s="39" t="s">
        <v>86</v>
      </c>
      <c r="N20" s="11"/>
    </row>
    <row r="21" spans="1:14" ht="22.9" thickBot="1">
      <c r="A21" s="43">
        <v>46090</v>
      </c>
      <c r="B21" s="7" t="s">
        <v>29</v>
      </c>
      <c r="C21" s="7" t="s">
        <v>67</v>
      </c>
      <c r="D21" s="7" t="s">
        <v>68</v>
      </c>
      <c r="E21" s="7" t="s">
        <v>40</v>
      </c>
      <c r="F21" s="7">
        <v>130</v>
      </c>
      <c r="G21" s="69">
        <v>0.21</v>
      </c>
      <c r="H21" s="7" t="s">
        <v>33</v>
      </c>
      <c r="I21" s="8">
        <v>27.3</v>
      </c>
      <c r="J21" s="7">
        <v>0</v>
      </c>
      <c r="K21" s="10">
        <v>27.3</v>
      </c>
      <c r="L21" s="7">
        <v>130</v>
      </c>
      <c r="M21" s="39" t="s">
        <v>87</v>
      </c>
    </row>
    <row r="22" spans="1:14" ht="22.9" thickBot="1">
      <c r="A22" s="43">
        <v>46093</v>
      </c>
      <c r="B22" s="7" t="s">
        <v>82</v>
      </c>
      <c r="C22" s="7" t="s">
        <v>45</v>
      </c>
      <c r="D22" s="7" t="s">
        <v>46</v>
      </c>
      <c r="E22" s="7" t="s">
        <v>40</v>
      </c>
      <c r="F22" s="7">
        <v>570</v>
      </c>
      <c r="G22" s="69">
        <v>124.61</v>
      </c>
      <c r="H22" s="7" t="s">
        <v>33</v>
      </c>
      <c r="I22" s="8">
        <v>-71027.7</v>
      </c>
      <c r="J22" s="7">
        <v>10</v>
      </c>
      <c r="K22" s="10">
        <v>-71017.7</v>
      </c>
      <c r="L22" s="7">
        <v>0</v>
      </c>
      <c r="M22" s="39" t="s">
        <v>88</v>
      </c>
    </row>
    <row r="23" spans="1:14" ht="22.9" thickBot="1">
      <c r="A23" s="43">
        <v>46093</v>
      </c>
      <c r="B23" s="7" t="s">
        <v>82</v>
      </c>
      <c r="C23" s="7" t="s">
        <v>61</v>
      </c>
      <c r="D23" s="7" t="s">
        <v>62</v>
      </c>
      <c r="E23" s="7" t="s">
        <v>40</v>
      </c>
      <c r="F23" s="7">
        <v>150</v>
      </c>
      <c r="G23" s="69">
        <v>281.04000000000002</v>
      </c>
      <c r="H23" s="7" t="s">
        <v>33</v>
      </c>
      <c r="I23" s="8">
        <v>-42156</v>
      </c>
      <c r="J23" s="7">
        <v>10</v>
      </c>
      <c r="K23" s="10">
        <v>-42146</v>
      </c>
      <c r="L23" s="7">
        <v>0</v>
      </c>
      <c r="M23" s="39" t="s">
        <v>89</v>
      </c>
    </row>
    <row r="24" spans="1:14" ht="22.9" thickBot="1">
      <c r="A24" s="43">
        <v>46093</v>
      </c>
      <c r="B24" s="7" t="s">
        <v>54</v>
      </c>
      <c r="C24" s="7" t="s">
        <v>35</v>
      </c>
      <c r="D24" s="7" t="s">
        <v>36</v>
      </c>
      <c r="E24" s="7" t="s">
        <v>32</v>
      </c>
      <c r="F24" s="7">
        <v>435</v>
      </c>
      <c r="G24" s="69">
        <v>84.58</v>
      </c>
      <c r="H24" s="7" t="s">
        <v>33</v>
      </c>
      <c r="I24" s="8">
        <v>-36792.300000000003</v>
      </c>
      <c r="J24" s="7">
        <v>10</v>
      </c>
      <c r="K24" s="10">
        <v>-36782.300000000003</v>
      </c>
      <c r="L24" s="7">
        <v>440</v>
      </c>
      <c r="M24" s="39" t="s">
        <v>90</v>
      </c>
    </row>
    <row r="25" spans="1:14" ht="22.9" thickBot="1">
      <c r="A25" s="43">
        <v>46094</v>
      </c>
      <c r="B25" s="7" t="s">
        <v>91</v>
      </c>
      <c r="C25" s="7" t="s">
        <v>84</v>
      </c>
      <c r="D25" s="7" t="s">
        <v>85</v>
      </c>
      <c r="E25" s="7" t="s">
        <v>40</v>
      </c>
      <c r="F25" s="7">
        <v>120</v>
      </c>
      <c r="G25" s="69">
        <v>651.62</v>
      </c>
      <c r="H25" s="7" t="s">
        <v>33</v>
      </c>
      <c r="I25" s="8">
        <v>78194.399999999994</v>
      </c>
      <c r="J25" s="7">
        <v>10</v>
      </c>
      <c r="K25" s="10">
        <v>78204.399999999994</v>
      </c>
      <c r="L25" s="7">
        <v>120</v>
      </c>
      <c r="M25" s="39" t="s">
        <v>92</v>
      </c>
    </row>
    <row r="26" spans="1:14" ht="22.9" thickBot="1">
      <c r="A26" s="43">
        <v>46094</v>
      </c>
      <c r="B26" s="7" t="s">
        <v>91</v>
      </c>
      <c r="C26" s="7" t="s">
        <v>93</v>
      </c>
      <c r="D26" s="7" t="s">
        <v>94</v>
      </c>
      <c r="E26" s="7" t="s">
        <v>40</v>
      </c>
      <c r="F26" s="7">
        <v>610</v>
      </c>
      <c r="G26" s="69">
        <v>116.98</v>
      </c>
      <c r="H26" s="7" t="s">
        <v>33</v>
      </c>
      <c r="I26" s="8">
        <v>71357.8</v>
      </c>
      <c r="J26" s="7">
        <v>10</v>
      </c>
      <c r="K26" s="10">
        <v>71367.8</v>
      </c>
      <c r="L26" s="7">
        <v>610</v>
      </c>
      <c r="M26" s="39" t="s">
        <v>95</v>
      </c>
    </row>
    <row r="27" spans="1:14" ht="22.9" thickBot="1">
      <c r="A27" s="43">
        <v>46097</v>
      </c>
      <c r="B27" s="7" t="s">
        <v>91</v>
      </c>
      <c r="C27" s="7" t="s">
        <v>96</v>
      </c>
      <c r="D27" s="7" t="s">
        <v>97</v>
      </c>
      <c r="E27" s="7" t="s">
        <v>32</v>
      </c>
      <c r="F27" s="7">
        <v>100</v>
      </c>
      <c r="G27" s="69">
        <v>231.91</v>
      </c>
      <c r="H27" s="7" t="s">
        <v>33</v>
      </c>
      <c r="I27" s="8">
        <v>23191</v>
      </c>
      <c r="J27" s="7">
        <v>10</v>
      </c>
      <c r="K27" s="10">
        <v>23201</v>
      </c>
      <c r="L27" s="7">
        <v>100</v>
      </c>
      <c r="M27" s="39" t="s">
        <v>98</v>
      </c>
    </row>
    <row r="28" spans="1:14" ht="22.9" thickBot="1">
      <c r="A28" s="43">
        <v>46097</v>
      </c>
      <c r="B28" s="7" t="s">
        <v>91</v>
      </c>
      <c r="C28" s="7" t="s">
        <v>99</v>
      </c>
      <c r="D28" s="7" t="s">
        <v>100</v>
      </c>
      <c r="E28" s="7" t="s">
        <v>40</v>
      </c>
      <c r="F28" s="7">
        <v>135</v>
      </c>
      <c r="G28" s="69">
        <v>124.8</v>
      </c>
      <c r="H28" s="7" t="s">
        <v>33</v>
      </c>
      <c r="I28" s="8">
        <v>16848</v>
      </c>
      <c r="J28" s="7">
        <v>10</v>
      </c>
      <c r="K28" s="10">
        <v>16858</v>
      </c>
      <c r="L28" s="7">
        <v>135</v>
      </c>
      <c r="M28" s="39" t="s">
        <v>101</v>
      </c>
    </row>
    <row r="29" spans="1:14" ht="22.9" thickBot="1">
      <c r="A29" s="43">
        <v>46097</v>
      </c>
      <c r="B29" s="7" t="s">
        <v>91</v>
      </c>
      <c r="C29" s="7" t="s">
        <v>102</v>
      </c>
      <c r="D29" s="7" t="s">
        <v>103</v>
      </c>
      <c r="E29" s="7" t="s">
        <v>40</v>
      </c>
      <c r="F29" s="7">
        <v>274</v>
      </c>
      <c r="G29" s="69">
        <v>184.04</v>
      </c>
      <c r="H29" s="7" t="s">
        <v>33</v>
      </c>
      <c r="I29" s="8">
        <v>50426.96</v>
      </c>
      <c r="J29" s="7">
        <v>10</v>
      </c>
      <c r="K29" s="10">
        <v>50436.959999999999</v>
      </c>
      <c r="L29" s="7">
        <v>274</v>
      </c>
      <c r="M29" s="39" t="s">
        <v>104</v>
      </c>
    </row>
    <row r="30" spans="1:14" ht="22.9" thickBot="1">
      <c r="A30" s="43">
        <v>46097</v>
      </c>
      <c r="B30" s="7" t="s">
        <v>91</v>
      </c>
      <c r="C30" s="7" t="s">
        <v>105</v>
      </c>
      <c r="D30" s="7" t="s">
        <v>106</v>
      </c>
      <c r="E30" s="7" t="s">
        <v>40</v>
      </c>
      <c r="F30" s="7">
        <v>161</v>
      </c>
      <c r="G30" s="69">
        <v>155.76</v>
      </c>
      <c r="H30" s="7" t="s">
        <v>33</v>
      </c>
      <c r="I30" s="8">
        <v>25077.360000000001</v>
      </c>
      <c r="J30" s="7">
        <v>10</v>
      </c>
      <c r="K30" s="10">
        <v>25087.360000000001</v>
      </c>
      <c r="L30" s="7">
        <v>161</v>
      </c>
      <c r="M30" s="39" t="s">
        <v>107</v>
      </c>
    </row>
    <row r="31" spans="1:14" ht="22.9" thickBot="1">
      <c r="A31" s="43">
        <v>46097</v>
      </c>
      <c r="B31" s="7" t="s">
        <v>91</v>
      </c>
      <c r="C31" s="7" t="s">
        <v>108</v>
      </c>
      <c r="D31" s="7" t="s">
        <v>109</v>
      </c>
      <c r="E31" s="7" t="s">
        <v>32</v>
      </c>
      <c r="F31" s="7">
        <v>120</v>
      </c>
      <c r="G31" s="69">
        <v>167.12</v>
      </c>
      <c r="H31" s="7" t="s">
        <v>33</v>
      </c>
      <c r="I31" s="8">
        <v>20054.400000000001</v>
      </c>
      <c r="J31" s="7">
        <v>10</v>
      </c>
      <c r="K31" s="10">
        <v>20064.400000000001</v>
      </c>
      <c r="L31" s="7">
        <v>120</v>
      </c>
      <c r="M31" s="39" t="s">
        <v>110</v>
      </c>
    </row>
    <row r="32" spans="1:14" ht="22.9" thickBot="1">
      <c r="A32" s="43">
        <v>46097</v>
      </c>
      <c r="B32" s="7" t="s">
        <v>91</v>
      </c>
      <c r="C32" s="7" t="s">
        <v>111</v>
      </c>
      <c r="D32" s="7" t="s">
        <v>112</v>
      </c>
      <c r="E32" s="7" t="s">
        <v>40</v>
      </c>
      <c r="F32" s="7">
        <v>150</v>
      </c>
      <c r="G32" s="69">
        <v>126.69499999999999</v>
      </c>
      <c r="H32" s="7" t="s">
        <v>33</v>
      </c>
      <c r="I32" s="8">
        <v>19004.25</v>
      </c>
      <c r="J32" s="7">
        <v>10</v>
      </c>
      <c r="K32" s="10">
        <v>19014.25</v>
      </c>
      <c r="L32" s="7">
        <v>150</v>
      </c>
      <c r="M32" s="39" t="s">
        <v>113</v>
      </c>
    </row>
    <row r="33" spans="1:13">
      <c r="A33" s="81"/>
      <c r="B33" s="82"/>
      <c r="C33" s="82"/>
      <c r="D33" s="82"/>
      <c r="E33" s="82"/>
      <c r="F33" s="82"/>
      <c r="G33" s="83">
        <f>'Live Data'!Q33</f>
        <v>0</v>
      </c>
      <c r="H33" s="82"/>
      <c r="I33" s="84">
        <f>TradingLogTable3[[#This Row],[Quantity (positive number)]]*TradingLogTable3[[#This Row],[Price per Unit]]</f>
        <v>0</v>
      </c>
      <c r="J33" s="82"/>
      <c r="K33" s="85">
        <f t="shared" ref="K33" si="0">I33+J33</f>
        <v>0</v>
      </c>
      <c r="L33" s="82"/>
      <c r="M33" s="86"/>
    </row>
    <row r="34" spans="1:13">
      <c r="A34" s="43" t="s">
        <v>114</v>
      </c>
      <c r="B34" s="7" t="s">
        <v>29</v>
      </c>
      <c r="C34" s="7" t="s">
        <v>30</v>
      </c>
      <c r="D34" s="7" t="s">
        <v>31</v>
      </c>
      <c r="E34" s="7" t="s">
        <v>32</v>
      </c>
      <c r="F34" s="7">
        <v>295</v>
      </c>
      <c r="G34" s="69">
        <v>684.89</v>
      </c>
      <c r="H34" s="7" t="s">
        <v>33</v>
      </c>
      <c r="I34" s="8">
        <f>F34*G34</f>
        <v>202042.55</v>
      </c>
      <c r="J34" s="7">
        <v>10</v>
      </c>
      <c r="K34" s="10">
        <f>I34+J34</f>
        <v>202052.55</v>
      </c>
      <c r="L34" s="7">
        <v>295</v>
      </c>
      <c r="M34" s="80" t="s">
        <v>115</v>
      </c>
    </row>
    <row r="35" spans="1:13">
      <c r="A35" s="43" t="s">
        <v>114</v>
      </c>
      <c r="B35" s="7" t="s">
        <v>29</v>
      </c>
      <c r="C35" s="7" t="s">
        <v>35</v>
      </c>
      <c r="D35" s="7" t="s">
        <v>36</v>
      </c>
      <c r="E35" s="7" t="s">
        <v>32</v>
      </c>
      <c r="F35" s="7">
        <v>440</v>
      </c>
      <c r="G35" s="69">
        <v>89.52</v>
      </c>
      <c r="H35" s="7" t="s">
        <v>33</v>
      </c>
      <c r="I35" s="8">
        <f t="shared" ref="I35:I54" si="1">F35*G35</f>
        <v>39388.799999999996</v>
      </c>
      <c r="J35" s="7">
        <v>10</v>
      </c>
      <c r="K35" s="10">
        <f t="shared" ref="K35:K54" si="2">I35+J35</f>
        <v>39398.799999999996</v>
      </c>
      <c r="L35" s="7">
        <v>440</v>
      </c>
      <c r="M35" s="80" t="s">
        <v>116</v>
      </c>
    </row>
    <row r="36" spans="1:13">
      <c r="A36" s="43" t="s">
        <v>114</v>
      </c>
      <c r="B36" s="7" t="s">
        <v>29</v>
      </c>
      <c r="C36" s="7" t="s">
        <v>38</v>
      </c>
      <c r="D36" s="7" t="s">
        <v>39</v>
      </c>
      <c r="E36" s="7" t="s">
        <v>40</v>
      </c>
      <c r="F36" s="7">
        <v>260</v>
      </c>
      <c r="G36" s="69">
        <v>244.64</v>
      </c>
      <c r="H36" s="7" t="s">
        <v>33</v>
      </c>
      <c r="I36" s="8">
        <f t="shared" si="1"/>
        <v>63606.399999999994</v>
      </c>
      <c r="J36" s="7">
        <v>10</v>
      </c>
      <c r="K36" s="10">
        <f t="shared" si="2"/>
        <v>63616.399999999994</v>
      </c>
      <c r="L36" s="7">
        <v>260</v>
      </c>
      <c r="M36" s="80" t="s">
        <v>117</v>
      </c>
    </row>
    <row r="37" spans="1:13">
      <c r="A37" s="43" t="s">
        <v>114</v>
      </c>
      <c r="B37" s="7" t="s">
        <v>29</v>
      </c>
      <c r="C37" s="7" t="s">
        <v>42</v>
      </c>
      <c r="D37" s="7" t="s">
        <v>43</v>
      </c>
      <c r="E37" s="7" t="s">
        <v>40</v>
      </c>
      <c r="F37" s="7">
        <v>235</v>
      </c>
      <c r="G37" s="69">
        <v>162.44999999999999</v>
      </c>
      <c r="H37" s="7" t="s">
        <v>33</v>
      </c>
      <c r="I37" s="8">
        <f t="shared" si="1"/>
        <v>38175.75</v>
      </c>
      <c r="J37" s="7">
        <v>10</v>
      </c>
      <c r="K37" s="10">
        <f t="shared" si="2"/>
        <v>38185.75</v>
      </c>
      <c r="L37" s="7">
        <v>235</v>
      </c>
      <c r="M37" s="80" t="s">
        <v>118</v>
      </c>
    </row>
    <row r="38" spans="1:13">
      <c r="A38" s="43" t="s">
        <v>114</v>
      </c>
      <c r="B38" s="7" t="s">
        <v>29</v>
      </c>
      <c r="C38" s="7" t="s">
        <v>48</v>
      </c>
      <c r="D38" s="7" t="s">
        <v>49</v>
      </c>
      <c r="E38" s="7" t="s">
        <v>32</v>
      </c>
      <c r="F38" s="7">
        <v>800</v>
      </c>
      <c r="G38" s="69">
        <v>45.45</v>
      </c>
      <c r="H38" s="7" t="s">
        <v>33</v>
      </c>
      <c r="I38" s="8">
        <f t="shared" si="1"/>
        <v>36360</v>
      </c>
      <c r="J38" s="7">
        <v>10</v>
      </c>
      <c r="K38" s="10">
        <f t="shared" si="2"/>
        <v>36370</v>
      </c>
      <c r="L38" s="7">
        <v>800</v>
      </c>
      <c r="M38" s="80" t="s">
        <v>119</v>
      </c>
    </row>
    <row r="39" spans="1:13">
      <c r="A39" s="43" t="s">
        <v>114</v>
      </c>
      <c r="B39" s="7" t="s">
        <v>29</v>
      </c>
      <c r="C39" s="7" t="s">
        <v>51</v>
      </c>
      <c r="D39" s="7" t="s">
        <v>52</v>
      </c>
      <c r="E39" s="7" t="s">
        <v>40</v>
      </c>
      <c r="F39" s="7">
        <v>230</v>
      </c>
      <c r="G39" s="69">
        <v>363.94</v>
      </c>
      <c r="H39" s="7" t="s">
        <v>33</v>
      </c>
      <c r="I39" s="8">
        <f t="shared" si="1"/>
        <v>83706.2</v>
      </c>
      <c r="J39" s="7">
        <v>10</v>
      </c>
      <c r="K39" s="10">
        <f t="shared" si="2"/>
        <v>83716.2</v>
      </c>
      <c r="L39" s="7">
        <v>230</v>
      </c>
      <c r="M39" s="80" t="s">
        <v>120</v>
      </c>
    </row>
    <row r="40" spans="1:13">
      <c r="A40" s="43" t="s">
        <v>114</v>
      </c>
      <c r="B40" s="7" t="s">
        <v>29</v>
      </c>
      <c r="C40" s="7" t="s">
        <v>55</v>
      </c>
      <c r="D40" s="7" t="s">
        <v>56</v>
      </c>
      <c r="E40" s="7" t="s">
        <v>40</v>
      </c>
      <c r="F40" s="7">
        <v>15</v>
      </c>
      <c r="G40" s="69">
        <v>408.82</v>
      </c>
      <c r="H40" s="7" t="s">
        <v>33</v>
      </c>
      <c r="I40" s="8">
        <f t="shared" si="1"/>
        <v>6132.3</v>
      </c>
      <c r="J40" s="7">
        <v>10</v>
      </c>
      <c r="K40" s="10">
        <f t="shared" si="2"/>
        <v>6142.3</v>
      </c>
      <c r="L40" s="7">
        <v>15</v>
      </c>
      <c r="M40" s="80" t="s">
        <v>121</v>
      </c>
    </row>
    <row r="41" spans="1:13">
      <c r="A41" s="43" t="s">
        <v>114</v>
      </c>
      <c r="B41" s="7" t="s">
        <v>29</v>
      </c>
      <c r="C41" s="7" t="s">
        <v>58</v>
      </c>
      <c r="D41" s="7" t="s">
        <v>59</v>
      </c>
      <c r="E41" s="7" t="s">
        <v>40</v>
      </c>
      <c r="F41" s="7">
        <v>388</v>
      </c>
      <c r="G41" s="69">
        <v>131.47999999999999</v>
      </c>
      <c r="H41" s="7" t="s">
        <v>33</v>
      </c>
      <c r="I41" s="8">
        <f t="shared" si="1"/>
        <v>51014.239999999998</v>
      </c>
      <c r="J41" s="7">
        <v>10</v>
      </c>
      <c r="K41" s="10">
        <f t="shared" si="2"/>
        <v>51024.24</v>
      </c>
      <c r="L41" s="7">
        <v>388</v>
      </c>
      <c r="M41" s="80" t="s">
        <v>122</v>
      </c>
    </row>
    <row r="42" spans="1:13">
      <c r="A42" s="43" t="s">
        <v>114</v>
      </c>
      <c r="B42" s="7" t="s">
        <v>29</v>
      </c>
      <c r="C42" s="7" t="s">
        <v>64</v>
      </c>
      <c r="D42" s="7" t="s">
        <v>65</v>
      </c>
      <c r="E42" s="7" t="s">
        <v>40</v>
      </c>
      <c r="F42" s="7">
        <v>250</v>
      </c>
      <c r="G42" s="69">
        <v>200.87</v>
      </c>
      <c r="H42" s="7" t="s">
        <v>33</v>
      </c>
      <c r="I42" s="8">
        <f t="shared" si="1"/>
        <v>50217.5</v>
      </c>
      <c r="J42" s="7">
        <v>10</v>
      </c>
      <c r="K42" s="10">
        <f t="shared" si="2"/>
        <v>50227.5</v>
      </c>
      <c r="L42" s="7">
        <v>250</v>
      </c>
      <c r="M42" s="80" t="s">
        <v>123</v>
      </c>
    </row>
    <row r="43" spans="1:13">
      <c r="A43" s="43" t="s">
        <v>114</v>
      </c>
      <c r="B43" s="7" t="s">
        <v>29</v>
      </c>
      <c r="C43" s="7" t="s">
        <v>73</v>
      </c>
      <c r="D43" s="7" t="s">
        <v>74</v>
      </c>
      <c r="E43" s="7" t="s">
        <v>40</v>
      </c>
      <c r="F43" s="7">
        <v>800</v>
      </c>
      <c r="G43" s="69">
        <v>33.6</v>
      </c>
      <c r="H43" s="7" t="s">
        <v>33</v>
      </c>
      <c r="I43" s="8">
        <f t="shared" si="1"/>
        <v>26880</v>
      </c>
      <c r="J43" s="7">
        <v>10</v>
      </c>
      <c r="K43" s="10">
        <f t="shared" si="2"/>
        <v>26890</v>
      </c>
      <c r="L43" s="7">
        <v>800</v>
      </c>
      <c r="M43" s="80" t="s">
        <v>124</v>
      </c>
    </row>
    <row r="44" spans="1:13">
      <c r="A44" s="43" t="s">
        <v>114</v>
      </c>
      <c r="B44" s="7" t="s">
        <v>29</v>
      </c>
      <c r="C44" s="7" t="s">
        <v>76</v>
      </c>
      <c r="D44" s="7" t="s">
        <v>77</v>
      </c>
      <c r="E44" s="7" t="s">
        <v>32</v>
      </c>
      <c r="F44" s="7">
        <v>60</v>
      </c>
      <c r="G44" s="69">
        <v>57.95</v>
      </c>
      <c r="H44" s="7" t="s">
        <v>33</v>
      </c>
      <c r="I44" s="8">
        <f t="shared" si="1"/>
        <v>3477</v>
      </c>
      <c r="J44" s="7">
        <v>10</v>
      </c>
      <c r="K44" s="10">
        <f t="shared" si="2"/>
        <v>3487</v>
      </c>
      <c r="L44" s="7">
        <v>60</v>
      </c>
      <c r="M44" s="80" t="s">
        <v>125</v>
      </c>
    </row>
    <row r="45" spans="1:13">
      <c r="A45" s="43" t="s">
        <v>114</v>
      </c>
      <c r="B45" s="7" t="s">
        <v>29</v>
      </c>
      <c r="C45" s="7" t="s">
        <v>79</v>
      </c>
      <c r="D45" s="7" t="s">
        <v>80</v>
      </c>
      <c r="E45" s="7" t="s">
        <v>40</v>
      </c>
      <c r="F45" s="7">
        <v>75</v>
      </c>
      <c r="G45" s="69">
        <v>159.75</v>
      </c>
      <c r="H45" s="7" t="s">
        <v>33</v>
      </c>
      <c r="I45" s="8">
        <f t="shared" si="1"/>
        <v>11981.25</v>
      </c>
      <c r="J45" s="7">
        <v>10</v>
      </c>
      <c r="K45" s="10">
        <f t="shared" si="2"/>
        <v>11991.25</v>
      </c>
      <c r="L45" s="7">
        <v>75</v>
      </c>
      <c r="M45" s="80" t="s">
        <v>126</v>
      </c>
    </row>
    <row r="46" spans="1:13">
      <c r="A46" s="43" t="s">
        <v>114</v>
      </c>
      <c r="B46" s="7" t="s">
        <v>29</v>
      </c>
      <c r="C46" s="7" t="s">
        <v>67</v>
      </c>
      <c r="D46" s="7" t="s">
        <v>68</v>
      </c>
      <c r="E46" s="7" t="s">
        <v>40</v>
      </c>
      <c r="F46" s="7">
        <v>130</v>
      </c>
      <c r="G46" s="69">
        <v>302.22000000000003</v>
      </c>
      <c r="H46" s="7" t="s">
        <v>33</v>
      </c>
      <c r="I46" s="8">
        <f t="shared" si="1"/>
        <v>39288.600000000006</v>
      </c>
      <c r="J46" s="7">
        <v>10</v>
      </c>
      <c r="K46" s="10">
        <f t="shared" si="2"/>
        <v>39298.600000000006</v>
      </c>
      <c r="L46" s="7">
        <v>130</v>
      </c>
      <c r="M46" s="80" t="s">
        <v>127</v>
      </c>
    </row>
    <row r="47" spans="1:13">
      <c r="A47" s="43" t="s">
        <v>114</v>
      </c>
      <c r="B47" s="7" t="s">
        <v>29</v>
      </c>
      <c r="C47" s="7" t="s">
        <v>84</v>
      </c>
      <c r="D47" s="7" t="s">
        <v>85</v>
      </c>
      <c r="E47" s="7" t="s">
        <v>40</v>
      </c>
      <c r="F47" s="7">
        <v>120</v>
      </c>
      <c r="G47" s="69">
        <v>651.62</v>
      </c>
      <c r="H47" s="7" t="s">
        <v>33</v>
      </c>
      <c r="I47" s="8">
        <f t="shared" si="1"/>
        <v>78194.399999999994</v>
      </c>
      <c r="J47" s="7">
        <v>10</v>
      </c>
      <c r="K47" s="10">
        <f t="shared" si="2"/>
        <v>78204.399999999994</v>
      </c>
      <c r="L47" s="7">
        <v>120</v>
      </c>
      <c r="M47" s="80" t="s">
        <v>128</v>
      </c>
    </row>
    <row r="48" spans="1:13">
      <c r="A48" s="43" t="s">
        <v>114</v>
      </c>
      <c r="B48" s="7" t="s">
        <v>29</v>
      </c>
      <c r="C48" s="7" t="s">
        <v>93</v>
      </c>
      <c r="D48" s="7" t="s">
        <v>94</v>
      </c>
      <c r="E48" s="7" t="s">
        <v>40</v>
      </c>
      <c r="F48" s="7">
        <v>610</v>
      </c>
      <c r="G48" s="69">
        <v>116.98</v>
      </c>
      <c r="H48" s="7" t="s">
        <v>33</v>
      </c>
      <c r="I48" s="8">
        <f t="shared" si="1"/>
        <v>71357.8</v>
      </c>
      <c r="J48" s="7">
        <v>10</v>
      </c>
      <c r="K48" s="10">
        <f t="shared" si="2"/>
        <v>71367.8</v>
      </c>
      <c r="L48" s="7">
        <v>610</v>
      </c>
      <c r="M48" s="80" t="s">
        <v>129</v>
      </c>
    </row>
    <row r="49" spans="1:13">
      <c r="A49" s="43" t="s">
        <v>114</v>
      </c>
      <c r="B49" s="7" t="s">
        <v>29</v>
      </c>
      <c r="C49" s="7" t="s">
        <v>96</v>
      </c>
      <c r="D49" s="7" t="s">
        <v>97</v>
      </c>
      <c r="E49" s="7" t="s">
        <v>32</v>
      </c>
      <c r="F49" s="7">
        <v>100</v>
      </c>
      <c r="G49" s="69">
        <v>231.91</v>
      </c>
      <c r="H49" s="7" t="s">
        <v>33</v>
      </c>
      <c r="I49" s="8">
        <f t="shared" si="1"/>
        <v>23191</v>
      </c>
      <c r="J49" s="7">
        <v>10</v>
      </c>
      <c r="K49" s="10">
        <f t="shared" si="2"/>
        <v>23201</v>
      </c>
      <c r="L49" s="7">
        <v>100</v>
      </c>
      <c r="M49" s="80" t="s">
        <v>130</v>
      </c>
    </row>
    <row r="50" spans="1:13">
      <c r="A50" s="43" t="s">
        <v>114</v>
      </c>
      <c r="B50" s="7" t="s">
        <v>29</v>
      </c>
      <c r="C50" s="7" t="s">
        <v>99</v>
      </c>
      <c r="D50" s="7" t="s">
        <v>100</v>
      </c>
      <c r="E50" s="7" t="s">
        <v>40</v>
      </c>
      <c r="F50" s="7">
        <v>135</v>
      </c>
      <c r="G50" s="69">
        <v>124.8</v>
      </c>
      <c r="H50" s="7" t="s">
        <v>33</v>
      </c>
      <c r="I50" s="8">
        <f t="shared" si="1"/>
        <v>16848</v>
      </c>
      <c r="J50" s="7">
        <v>10</v>
      </c>
      <c r="K50" s="10">
        <f t="shared" si="2"/>
        <v>16858</v>
      </c>
      <c r="L50" s="7">
        <v>135</v>
      </c>
      <c r="M50" s="87" t="s">
        <v>131</v>
      </c>
    </row>
    <row r="51" spans="1:13">
      <c r="A51" s="43" t="s">
        <v>114</v>
      </c>
      <c r="B51" s="7" t="s">
        <v>29</v>
      </c>
      <c r="C51" s="7" t="s">
        <v>102</v>
      </c>
      <c r="D51" s="7" t="s">
        <v>103</v>
      </c>
      <c r="E51" s="7" t="s">
        <v>40</v>
      </c>
      <c r="F51" s="7">
        <v>274</v>
      </c>
      <c r="G51" s="69">
        <v>184.04</v>
      </c>
      <c r="H51" s="7" t="s">
        <v>33</v>
      </c>
      <c r="I51" s="8">
        <f t="shared" si="1"/>
        <v>50426.96</v>
      </c>
      <c r="J51" s="7">
        <v>10</v>
      </c>
      <c r="K51" s="10">
        <f t="shared" si="2"/>
        <v>50436.959999999999</v>
      </c>
      <c r="L51" s="7">
        <v>274</v>
      </c>
      <c r="M51" t="s">
        <v>132</v>
      </c>
    </row>
    <row r="52" spans="1:13">
      <c r="A52" s="43" t="s">
        <v>114</v>
      </c>
      <c r="B52" s="7" t="s">
        <v>29</v>
      </c>
      <c r="C52" s="7" t="s">
        <v>105</v>
      </c>
      <c r="D52" s="7" t="s">
        <v>106</v>
      </c>
      <c r="E52" s="7" t="s">
        <v>40</v>
      </c>
      <c r="F52" s="7">
        <v>161</v>
      </c>
      <c r="G52" s="69">
        <v>155.76</v>
      </c>
      <c r="H52" s="7" t="s">
        <v>33</v>
      </c>
      <c r="I52" s="8">
        <f t="shared" si="1"/>
        <v>25077.359999999997</v>
      </c>
      <c r="J52" s="7">
        <v>10</v>
      </c>
      <c r="K52" s="10">
        <f t="shared" si="2"/>
        <v>25087.359999999997</v>
      </c>
      <c r="L52" s="7">
        <v>161</v>
      </c>
      <c r="M52" t="s">
        <v>133</v>
      </c>
    </row>
    <row r="53" spans="1:13">
      <c r="A53" s="43" t="s">
        <v>114</v>
      </c>
      <c r="B53" s="7" t="s">
        <v>29</v>
      </c>
      <c r="C53" s="7" t="s">
        <v>108</v>
      </c>
      <c r="D53" s="7" t="s">
        <v>109</v>
      </c>
      <c r="E53" s="7" t="s">
        <v>32</v>
      </c>
      <c r="F53" s="7">
        <v>120</v>
      </c>
      <c r="G53" s="69">
        <v>167.12</v>
      </c>
      <c r="H53" s="7" t="s">
        <v>33</v>
      </c>
      <c r="I53" s="8">
        <f t="shared" si="1"/>
        <v>20054.400000000001</v>
      </c>
      <c r="J53" s="7">
        <v>10</v>
      </c>
      <c r="K53" s="10">
        <f t="shared" si="2"/>
        <v>20064.400000000001</v>
      </c>
      <c r="L53" s="7">
        <v>120</v>
      </c>
      <c r="M53" t="s">
        <v>134</v>
      </c>
    </row>
    <row r="54" spans="1:13">
      <c r="A54" s="43" t="s">
        <v>114</v>
      </c>
      <c r="B54" s="90" t="s">
        <v>29</v>
      </c>
      <c r="C54" s="7" t="s">
        <v>111</v>
      </c>
      <c r="D54" s="7" t="s">
        <v>112</v>
      </c>
      <c r="E54" s="7" t="s">
        <v>40</v>
      </c>
      <c r="F54" s="7">
        <v>150</v>
      </c>
      <c r="G54" s="69">
        <v>126.7</v>
      </c>
      <c r="H54" s="7" t="s">
        <v>33</v>
      </c>
      <c r="I54" s="8">
        <f t="shared" si="1"/>
        <v>19005</v>
      </c>
      <c r="J54" s="7">
        <v>10</v>
      </c>
      <c r="K54" s="10">
        <f t="shared" si="2"/>
        <v>19015</v>
      </c>
      <c r="L54" s="7">
        <v>150</v>
      </c>
      <c r="M54" t="s">
        <v>135</v>
      </c>
    </row>
    <row r="55" spans="1:13">
      <c r="A55" s="96" t="s">
        <v>136</v>
      </c>
      <c r="B55" s="96" t="s">
        <v>136</v>
      </c>
      <c r="C55" s="96" t="s">
        <v>136</v>
      </c>
      <c r="D55" s="96" t="s">
        <v>136</v>
      </c>
      <c r="E55" s="96" t="s">
        <v>136</v>
      </c>
      <c r="F55" s="88" t="s">
        <v>137</v>
      </c>
      <c r="G55" s="95" t="s">
        <v>138</v>
      </c>
      <c r="H55" s="94" t="s">
        <v>139</v>
      </c>
      <c r="I55" s="96" t="s">
        <v>136</v>
      </c>
      <c r="J55" s="96" t="s">
        <v>136</v>
      </c>
      <c r="K55" s="96" t="s">
        <v>136</v>
      </c>
      <c r="L55" s="96" t="s">
        <v>136</v>
      </c>
      <c r="M55" s="96" t="s">
        <v>136</v>
      </c>
    </row>
    <row r="56" spans="1:13">
      <c r="A56" s="89">
        <v>46111</v>
      </c>
      <c r="B56" s="90" t="s">
        <v>82</v>
      </c>
      <c r="C56" s="90" t="s">
        <v>30</v>
      </c>
      <c r="D56" s="90" t="s">
        <v>31</v>
      </c>
      <c r="E56" s="90" t="s">
        <v>32</v>
      </c>
      <c r="F56" s="90">
        <v>295</v>
      </c>
      <c r="G56" s="91">
        <v>631.64</v>
      </c>
      <c r="H56" s="90" t="s">
        <v>33</v>
      </c>
      <c r="I56" s="92">
        <v>-186333.8</v>
      </c>
      <c r="J56" s="90">
        <v>10</v>
      </c>
      <c r="K56" s="93">
        <v>-186323.8</v>
      </c>
      <c r="L56" s="90">
        <v>0</v>
      </c>
      <c r="M56" t="s">
        <v>140</v>
      </c>
    </row>
    <row r="57" spans="1:13">
      <c r="A57" s="89">
        <v>46111</v>
      </c>
      <c r="B57" s="90" t="s">
        <v>54</v>
      </c>
      <c r="C57" s="90" t="s">
        <v>51</v>
      </c>
      <c r="D57" s="90" t="s">
        <v>52</v>
      </c>
      <c r="E57" s="90" t="s">
        <v>40</v>
      </c>
      <c r="F57" s="90">
        <v>230</v>
      </c>
      <c r="G57" s="91">
        <v>315.12</v>
      </c>
      <c r="H57" s="90" t="s">
        <v>33</v>
      </c>
      <c r="I57" s="92">
        <v>72477.600000000006</v>
      </c>
      <c r="J57" s="90">
        <v>10</v>
      </c>
      <c r="K57" s="93">
        <v>72487.600000000006</v>
      </c>
      <c r="L57" s="90">
        <v>460</v>
      </c>
      <c r="M57" t="s">
        <v>141</v>
      </c>
    </row>
    <row r="58" spans="1:13">
      <c r="A58" s="89">
        <v>46111</v>
      </c>
      <c r="B58" s="90" t="s">
        <v>82</v>
      </c>
      <c r="C58" s="90" t="s">
        <v>51</v>
      </c>
      <c r="D58" s="90" t="s">
        <v>52</v>
      </c>
      <c r="E58" s="90" t="s">
        <v>40</v>
      </c>
      <c r="F58" s="90">
        <v>460</v>
      </c>
      <c r="G58" s="91">
        <v>314.7</v>
      </c>
      <c r="H58" s="90" t="s">
        <v>33</v>
      </c>
      <c r="I58" s="92">
        <v>-144762</v>
      </c>
      <c r="J58" s="90">
        <v>10</v>
      </c>
      <c r="K58" s="93">
        <v>-144752</v>
      </c>
      <c r="L58" s="90">
        <v>0</v>
      </c>
      <c r="M58" t="s">
        <v>142</v>
      </c>
    </row>
    <row r="59" spans="1:13">
      <c r="A59" s="89">
        <v>46111</v>
      </c>
      <c r="B59" s="90" t="s">
        <v>54</v>
      </c>
      <c r="C59" s="90" t="s">
        <v>93</v>
      </c>
      <c r="D59" s="90" t="s">
        <v>94</v>
      </c>
      <c r="E59" s="90" t="s">
        <v>40</v>
      </c>
      <c r="F59" s="90">
        <v>610</v>
      </c>
      <c r="G59" s="91">
        <v>118.31</v>
      </c>
      <c r="H59" s="90" t="s">
        <v>33</v>
      </c>
      <c r="I59" s="92">
        <v>72169.100000000006</v>
      </c>
      <c r="J59" s="90">
        <v>10</v>
      </c>
      <c r="K59" s="93">
        <v>72179.100000000006</v>
      </c>
      <c r="L59" s="90">
        <v>1220</v>
      </c>
      <c r="M59" t="s">
        <v>143</v>
      </c>
    </row>
    <row r="60" spans="1:13">
      <c r="A60" s="89">
        <v>46111</v>
      </c>
      <c r="B60" s="90" t="s">
        <v>82</v>
      </c>
      <c r="C60" s="90" t="s">
        <v>93</v>
      </c>
      <c r="D60" s="90" t="s">
        <v>94</v>
      </c>
      <c r="E60" s="90" t="s">
        <v>40</v>
      </c>
      <c r="F60" s="90">
        <v>1220</v>
      </c>
      <c r="G60" s="91">
        <v>118.14</v>
      </c>
      <c r="H60" s="90" t="s">
        <v>33</v>
      </c>
      <c r="I60" s="92">
        <v>-144130.79999999999</v>
      </c>
      <c r="J60" s="90">
        <v>10</v>
      </c>
      <c r="K60" s="93">
        <v>-144120.79999999999</v>
      </c>
      <c r="L60" s="90">
        <v>0</v>
      </c>
      <c r="M60" t="s">
        <v>144</v>
      </c>
    </row>
    <row r="61" spans="1:13">
      <c r="A61" s="89">
        <v>46111</v>
      </c>
      <c r="B61" s="90" t="s">
        <v>82</v>
      </c>
      <c r="C61" s="90" t="s">
        <v>42</v>
      </c>
      <c r="D61" s="90" t="s">
        <v>43</v>
      </c>
      <c r="E61" s="90" t="s">
        <v>40</v>
      </c>
      <c r="F61" s="90">
        <v>235</v>
      </c>
      <c r="G61" s="91">
        <v>144.83000000000001</v>
      </c>
      <c r="H61" s="90" t="s">
        <v>33</v>
      </c>
      <c r="I61" s="92">
        <v>-34035.050000000003</v>
      </c>
      <c r="J61" s="90">
        <v>10</v>
      </c>
      <c r="K61" s="93">
        <v>-34025.050000000003</v>
      </c>
      <c r="L61" s="90">
        <v>0</v>
      </c>
      <c r="M61" t="s">
        <v>145</v>
      </c>
    </row>
    <row r="62" spans="1:13">
      <c r="A62" s="89">
        <v>46111</v>
      </c>
      <c r="B62" s="90" t="s">
        <v>82</v>
      </c>
      <c r="C62" s="90" t="s">
        <v>73</v>
      </c>
      <c r="D62" s="90" t="s">
        <v>74</v>
      </c>
      <c r="E62" s="90" t="s">
        <v>40</v>
      </c>
      <c r="F62" s="90">
        <v>800</v>
      </c>
      <c r="G62" s="91">
        <v>26.07</v>
      </c>
      <c r="H62" s="90" t="s">
        <v>33</v>
      </c>
      <c r="I62" s="92">
        <v>-20856</v>
      </c>
      <c r="J62" s="90">
        <v>10</v>
      </c>
      <c r="K62" s="93">
        <v>-20846</v>
      </c>
      <c r="L62" s="90">
        <v>0</v>
      </c>
      <c r="M62" t="s">
        <v>146</v>
      </c>
    </row>
    <row r="63" spans="1:13">
      <c r="A63" s="89">
        <v>46111</v>
      </c>
      <c r="B63" s="90" t="s">
        <v>82</v>
      </c>
      <c r="C63" s="90" t="s">
        <v>99</v>
      </c>
      <c r="D63" s="90" t="s">
        <v>100</v>
      </c>
      <c r="E63" s="90" t="s">
        <v>40</v>
      </c>
      <c r="F63" s="90">
        <v>135</v>
      </c>
      <c r="G63" s="91">
        <v>89.92</v>
      </c>
      <c r="H63" s="90" t="s">
        <v>33</v>
      </c>
      <c r="I63" s="92">
        <v>-12139.2</v>
      </c>
      <c r="J63" s="90">
        <v>10</v>
      </c>
      <c r="K63" s="93">
        <v>-12129.2</v>
      </c>
      <c r="L63" s="90">
        <v>0</v>
      </c>
      <c r="M63" t="s">
        <v>147</v>
      </c>
    </row>
    <row r="64" spans="1:13">
      <c r="A64" s="89">
        <v>46111</v>
      </c>
      <c r="B64" s="90" t="s">
        <v>82</v>
      </c>
      <c r="C64" s="90" t="s">
        <v>38</v>
      </c>
      <c r="D64" s="90" t="s">
        <v>39</v>
      </c>
      <c r="E64" s="90" t="s">
        <v>40</v>
      </c>
      <c r="F64" s="90">
        <v>260</v>
      </c>
      <c r="G64" s="91">
        <v>241.88</v>
      </c>
      <c r="H64" s="90" t="s">
        <v>33</v>
      </c>
      <c r="I64" s="92">
        <v>-62888.800000000003</v>
      </c>
      <c r="J64" s="90">
        <v>10</v>
      </c>
      <c r="K64" s="93">
        <v>-62878.8</v>
      </c>
      <c r="L64" s="90">
        <v>0</v>
      </c>
      <c r="M64" t="s">
        <v>148</v>
      </c>
    </row>
    <row r="65" spans="1:13">
      <c r="A65" s="89">
        <v>46111</v>
      </c>
      <c r="B65" s="90" t="s">
        <v>91</v>
      </c>
      <c r="C65" s="90" t="s">
        <v>149</v>
      </c>
      <c r="D65" s="90" t="s">
        <v>150</v>
      </c>
      <c r="E65" s="90" t="s">
        <v>40</v>
      </c>
      <c r="F65" s="90">
        <v>1150</v>
      </c>
      <c r="G65" s="91">
        <v>53.49</v>
      </c>
      <c r="H65" s="90" t="s">
        <v>33</v>
      </c>
      <c r="I65" s="92">
        <v>61513.5</v>
      </c>
      <c r="J65" s="90">
        <v>10</v>
      </c>
      <c r="K65" s="93">
        <v>61523.5</v>
      </c>
      <c r="L65" s="90">
        <v>1150</v>
      </c>
      <c r="M65" t="s">
        <v>151</v>
      </c>
    </row>
    <row r="66" spans="1:13">
      <c r="A66" s="89">
        <v>46111</v>
      </c>
      <c r="B66" s="90" t="s">
        <v>91</v>
      </c>
      <c r="C66" s="90" t="s">
        <v>152</v>
      </c>
      <c r="D66" s="90" t="s">
        <v>153</v>
      </c>
      <c r="E66" s="90" t="s">
        <v>40</v>
      </c>
      <c r="F66" s="90">
        <v>980</v>
      </c>
      <c r="G66" s="91">
        <v>62.99</v>
      </c>
      <c r="H66" s="90" t="s">
        <v>33</v>
      </c>
      <c r="I66" s="92">
        <v>61730.2</v>
      </c>
      <c r="J66" s="90">
        <v>10</v>
      </c>
      <c r="K66" s="93">
        <v>61740.2</v>
      </c>
      <c r="L66" s="90">
        <v>980</v>
      </c>
      <c r="M66" t="s">
        <v>154</v>
      </c>
    </row>
    <row r="67" spans="1:13">
      <c r="A67" s="89">
        <v>46111</v>
      </c>
      <c r="B67" s="90" t="s">
        <v>91</v>
      </c>
      <c r="C67" s="90" t="s">
        <v>155</v>
      </c>
      <c r="D67" s="90" t="s">
        <v>156</v>
      </c>
      <c r="E67" s="90" t="s">
        <v>32</v>
      </c>
      <c r="F67" s="90">
        <v>350</v>
      </c>
      <c r="G67" s="91">
        <v>415</v>
      </c>
      <c r="H67" s="90" t="s">
        <v>33</v>
      </c>
      <c r="I67" s="92">
        <v>145250</v>
      </c>
      <c r="J67" s="90">
        <v>10</v>
      </c>
      <c r="K67" s="93">
        <v>145260</v>
      </c>
      <c r="L67" s="90">
        <v>350</v>
      </c>
      <c r="M67" t="s">
        <v>157</v>
      </c>
    </row>
    <row r="68" spans="1:13">
      <c r="A68" s="89">
        <v>46111</v>
      </c>
      <c r="B68" s="90" t="s">
        <v>91</v>
      </c>
      <c r="C68" s="90" t="s">
        <v>158</v>
      </c>
      <c r="D68" s="90" t="s">
        <v>159</v>
      </c>
      <c r="E68" s="90" t="s">
        <v>32</v>
      </c>
      <c r="F68" s="90">
        <v>2500</v>
      </c>
      <c r="G68" s="91">
        <v>39.01</v>
      </c>
      <c r="H68" s="90" t="s">
        <v>33</v>
      </c>
      <c r="I68" s="92">
        <v>97525</v>
      </c>
      <c r="J68" s="90">
        <v>10</v>
      </c>
      <c r="K68" s="93">
        <v>97535</v>
      </c>
      <c r="L68" s="90">
        <v>2500</v>
      </c>
      <c r="M68" t="s">
        <v>160</v>
      </c>
    </row>
    <row r="69" spans="1:13">
      <c r="A69" s="89">
        <v>46111</v>
      </c>
      <c r="B69" s="90" t="s">
        <v>91</v>
      </c>
      <c r="C69" s="90" t="s">
        <v>161</v>
      </c>
      <c r="D69" s="90" t="s">
        <v>162</v>
      </c>
      <c r="E69" s="90" t="s">
        <v>32</v>
      </c>
      <c r="F69" s="90">
        <v>4500</v>
      </c>
      <c r="G69" s="91">
        <v>33.31</v>
      </c>
      <c r="H69" s="90" t="s">
        <v>33</v>
      </c>
      <c r="I69" s="92">
        <v>149895</v>
      </c>
      <c r="J69" s="90">
        <v>10</v>
      </c>
      <c r="K69" s="93">
        <v>149905</v>
      </c>
      <c r="L69" s="90">
        <v>4500</v>
      </c>
      <c r="M69" t="s">
        <v>163</v>
      </c>
    </row>
    <row r="70" spans="1:13">
      <c r="A70" s="89"/>
      <c r="B70" s="90"/>
      <c r="C70" s="90"/>
      <c r="D70" s="90"/>
      <c r="E70" s="90"/>
      <c r="F70" s="90"/>
      <c r="G70" s="91">
        <f>'Live Data'!Q59</f>
        <v>0</v>
      </c>
      <c r="H70" s="90"/>
      <c r="I70" s="92">
        <f>TradingLogTable3[[#This Row],[Quantity (positive number)]]*TradingLogTable3[[#This Row],[Price per Unit]]</f>
        <v>0</v>
      </c>
      <c r="J70" s="90"/>
      <c r="K70" s="93">
        <f t="shared" ref="K70:K78" si="3">I70+J70</f>
        <v>0</v>
      </c>
      <c r="L70" s="90"/>
      <c r="M70"/>
    </row>
    <row r="71" spans="1:13">
      <c r="A71" s="89"/>
      <c r="B71" s="90"/>
      <c r="C71" s="90"/>
      <c r="D71" s="90"/>
      <c r="E71" s="90"/>
      <c r="F71" s="90"/>
      <c r="G71" s="91">
        <f>'Live Data'!Q60</f>
        <v>0</v>
      </c>
      <c r="H71" s="90"/>
      <c r="I71" s="92">
        <f>TradingLogTable3[[#This Row],[Quantity (positive number)]]*TradingLogTable3[[#This Row],[Price per Unit]]</f>
        <v>0</v>
      </c>
      <c r="J71" s="90"/>
      <c r="K71" s="93">
        <f t="shared" si="3"/>
        <v>0</v>
      </c>
      <c r="L71" s="90"/>
      <c r="M71"/>
    </row>
    <row r="72" spans="1:13">
      <c r="A72" s="89"/>
      <c r="B72" s="90"/>
      <c r="C72" s="90"/>
      <c r="D72" s="90"/>
      <c r="E72" s="90"/>
      <c r="F72" s="90"/>
      <c r="G72" s="91">
        <f>'Live Data'!Q61</f>
        <v>0</v>
      </c>
      <c r="H72" s="90"/>
      <c r="I72" s="92">
        <f>TradingLogTable3[[#This Row],[Quantity (positive number)]]*TradingLogTable3[[#This Row],[Price per Unit]]</f>
        <v>0</v>
      </c>
      <c r="J72" s="90"/>
      <c r="K72" s="93">
        <f t="shared" si="3"/>
        <v>0</v>
      </c>
      <c r="L72" s="90"/>
      <c r="M72"/>
    </row>
    <row r="73" spans="1:13">
      <c r="A73" s="75"/>
      <c r="B73" s="76"/>
      <c r="C73" s="76"/>
      <c r="D73" s="76"/>
      <c r="E73" s="76"/>
      <c r="F73" s="76"/>
      <c r="G73" s="77">
        <f>'Live Data'!Q56</f>
        <v>0</v>
      </c>
      <c r="H73" s="76"/>
      <c r="I73" s="78">
        <f>TradingLogTable3[[#This Row],[Quantity (positive number)]]*TradingLogTable3[[#This Row],[Price per Unit]]</f>
        <v>0</v>
      </c>
      <c r="J73" s="76"/>
      <c r="K73" s="79">
        <f t="shared" si="3"/>
        <v>0</v>
      </c>
      <c r="L73" s="76"/>
      <c r="M73" s="80"/>
    </row>
    <row r="74" spans="1:13">
      <c r="A74" s="75"/>
      <c r="B74" s="76"/>
      <c r="C74" s="76"/>
      <c r="D74" s="76"/>
      <c r="E74" s="76"/>
      <c r="F74" s="76"/>
      <c r="G74" s="77">
        <f>'Live Data'!Q57</f>
        <v>0</v>
      </c>
      <c r="H74" s="76"/>
      <c r="I74" s="78">
        <f>TradingLogTable3[[#This Row],[Quantity (positive number)]]*TradingLogTable3[[#This Row],[Price per Unit]]</f>
        <v>0</v>
      </c>
      <c r="J74" s="76"/>
      <c r="K74" s="79">
        <f t="shared" si="3"/>
        <v>0</v>
      </c>
      <c r="L74" s="76"/>
      <c r="M74" s="80"/>
    </row>
    <row r="75" spans="1:13">
      <c r="A75" s="75"/>
      <c r="B75" s="76"/>
      <c r="C75" s="76"/>
      <c r="D75" s="76"/>
      <c r="E75" s="76"/>
      <c r="F75" s="76"/>
      <c r="G75" s="77">
        <f>'Live Data'!Q58</f>
        <v>0</v>
      </c>
      <c r="H75" s="76"/>
      <c r="I75" s="78">
        <f>TradingLogTable3[[#This Row],[Quantity (positive number)]]*TradingLogTable3[[#This Row],[Price per Unit]]</f>
        <v>0</v>
      </c>
      <c r="J75" s="76"/>
      <c r="K75" s="79">
        <f t="shared" si="3"/>
        <v>0</v>
      </c>
      <c r="L75" s="76"/>
      <c r="M75" s="80"/>
    </row>
    <row r="76" spans="1:13">
      <c r="A76" s="75"/>
      <c r="B76" s="76"/>
      <c r="C76" s="76"/>
      <c r="D76" s="76"/>
      <c r="E76" s="76"/>
      <c r="F76" s="76"/>
      <c r="G76" s="77">
        <f>'Live Data'!Q59</f>
        <v>0</v>
      </c>
      <c r="H76" s="76"/>
      <c r="I76" s="78">
        <f>TradingLogTable3[[#This Row],[Quantity (positive number)]]*TradingLogTable3[[#This Row],[Price per Unit]]</f>
        <v>0</v>
      </c>
      <c r="J76" s="76"/>
      <c r="K76" s="79">
        <f t="shared" si="3"/>
        <v>0</v>
      </c>
      <c r="L76" s="76"/>
      <c r="M76" s="80"/>
    </row>
    <row r="77" spans="1:13">
      <c r="A77" s="75"/>
      <c r="B77" s="76"/>
      <c r="C77" s="76"/>
      <c r="D77" s="76"/>
      <c r="E77" s="76"/>
      <c r="F77" s="76"/>
      <c r="G77" s="77">
        <f>'Live Data'!Q60</f>
        <v>0</v>
      </c>
      <c r="H77" s="76"/>
      <c r="I77" s="78">
        <f>TradingLogTable3[[#This Row],[Quantity (positive number)]]*TradingLogTable3[[#This Row],[Price per Unit]]</f>
        <v>0</v>
      </c>
      <c r="J77" s="76"/>
      <c r="K77" s="79">
        <f t="shared" si="3"/>
        <v>0</v>
      </c>
      <c r="L77" s="76"/>
      <c r="M77" s="80"/>
    </row>
    <row r="78" spans="1:13">
      <c r="A78" s="75"/>
      <c r="B78" s="76"/>
      <c r="C78" s="76"/>
      <c r="D78" s="76"/>
      <c r="E78" s="76"/>
      <c r="F78" s="76"/>
      <c r="G78" s="77">
        <f>'Live Data'!Q61</f>
        <v>0</v>
      </c>
      <c r="H78" s="76"/>
      <c r="I78" s="78">
        <f>TradingLogTable3[[#This Row],[Quantity (positive number)]]*TradingLogTable3[[#This Row],[Price per Unit]]</f>
        <v>0</v>
      </c>
      <c r="J78" s="76"/>
      <c r="K78" s="79">
        <f t="shared" si="3"/>
        <v>0</v>
      </c>
      <c r="L78" s="76"/>
      <c r="M78" s="80"/>
    </row>
    <row r="79" spans="1:13">
      <c r="A79" s="75"/>
      <c r="B79" s="76"/>
      <c r="C79" s="76"/>
      <c r="D79" s="76"/>
      <c r="E79" s="76"/>
      <c r="F79" s="76"/>
      <c r="G79" s="77">
        <f>'Live Data'!Q34</f>
        <v>0</v>
      </c>
      <c r="H79" s="76"/>
      <c r="I79" s="78">
        <f>TradingLogTable3[[#This Row],[Quantity (positive number)]]*TradingLogTable3[[#This Row],[Price per Unit]]</f>
        <v>0</v>
      </c>
      <c r="J79" s="76"/>
      <c r="K79" s="79">
        <f t="shared" ref="K79:K81" si="4">I79+J79</f>
        <v>0</v>
      </c>
      <c r="L79" s="76"/>
      <c r="M79" s="80"/>
    </row>
    <row r="80" spans="1:13">
      <c r="A80" s="75"/>
      <c r="B80" s="76"/>
      <c r="C80" s="76"/>
      <c r="D80" s="76"/>
      <c r="E80" s="76"/>
      <c r="F80" s="76"/>
      <c r="G80" s="77"/>
      <c r="H80" s="76"/>
      <c r="I80" s="78">
        <f>TradingLogTable3[[#This Row],[Quantity (positive number)]]*TradingLogTable3[[#This Row],[Price per Unit]]</f>
        <v>0</v>
      </c>
      <c r="J80" s="76"/>
      <c r="K80" s="79">
        <f t="shared" si="4"/>
        <v>0</v>
      </c>
      <c r="L80" s="76"/>
      <c r="M80" s="80"/>
    </row>
    <row r="81" spans="1:17">
      <c r="A81" s="75"/>
      <c r="B81" s="76"/>
      <c r="C81" s="76"/>
      <c r="D81" s="76"/>
      <c r="E81" s="76"/>
      <c r="F81" s="76"/>
      <c r="G81" s="77">
        <f>'Live Data'!Q36</f>
        <v>0</v>
      </c>
      <c r="H81" s="76"/>
      <c r="I81" s="78">
        <f>TradingLogTable3[[#This Row],[Quantity (positive number)]]*TradingLogTable3[[#This Row],[Price per Unit]]</f>
        <v>0</v>
      </c>
      <c r="J81" s="76"/>
      <c r="K81" s="79">
        <f t="shared" si="4"/>
        <v>0</v>
      </c>
      <c r="L81" s="76"/>
      <c r="M81" s="80"/>
    </row>
    <row r="82" spans="1:17">
      <c r="A82" s="75"/>
      <c r="B82" s="76"/>
      <c r="C82" s="76"/>
      <c r="D82" s="76"/>
      <c r="E82" s="76"/>
      <c r="F82" s="76"/>
      <c r="G82" s="77">
        <f>'Live Data'!Q33</f>
        <v>0</v>
      </c>
      <c r="H82" s="76"/>
      <c r="I82" s="78">
        <f>TradingLogTable3[[#This Row],[Quantity (positive number)]]*TradingLogTable3[[#This Row],[Price per Unit]]</f>
        <v>0</v>
      </c>
      <c r="J82" s="76"/>
      <c r="K82" s="79">
        <f>I82+J82</f>
        <v>0</v>
      </c>
      <c r="L82" s="76"/>
      <c r="M82" s="80"/>
    </row>
    <row r="83" spans="1:17">
      <c r="A83" s="75"/>
      <c r="B83" s="76"/>
      <c r="C83" s="76"/>
      <c r="D83" s="76"/>
      <c r="E83" s="76"/>
      <c r="F83" s="76"/>
      <c r="G83" s="77">
        <f>'Live Data'!Q33</f>
        <v>0</v>
      </c>
      <c r="H83" s="76"/>
      <c r="I83" s="78">
        <f>TradingLogTable3[[#This Row],[Quantity (positive number)]]*TradingLogTable3[[#This Row],[Price per Unit]]</f>
        <v>0</v>
      </c>
      <c r="J83" s="76"/>
      <c r="K83" s="79">
        <f>I83+J83</f>
        <v>0</v>
      </c>
      <c r="L83" s="76"/>
      <c r="M83" s="80"/>
    </row>
    <row r="84" spans="1:17">
      <c r="A84" s="75"/>
      <c r="B84" s="76"/>
      <c r="C84" s="76"/>
      <c r="D84" s="76"/>
      <c r="E84" s="76"/>
      <c r="F84" s="76"/>
      <c r="G84" s="77">
        <f>'Live Data'!Q34</f>
        <v>0</v>
      </c>
      <c r="H84" s="76"/>
      <c r="I84" s="78">
        <f>TradingLogTable3[[#This Row],[Quantity (positive number)]]*TradingLogTable3[[#This Row],[Price per Unit]]</f>
        <v>0</v>
      </c>
      <c r="J84" s="76"/>
      <c r="K84" s="79">
        <f>I84+J84</f>
        <v>0</v>
      </c>
      <c r="L84" s="76"/>
      <c r="M84" s="80"/>
    </row>
    <row r="85" spans="1:17">
      <c r="A85" s="75"/>
      <c r="B85" s="76"/>
      <c r="C85" s="76"/>
      <c r="D85" s="76"/>
      <c r="E85" s="76"/>
      <c r="F85" s="76"/>
      <c r="G85" s="77">
        <f>'Live Data'!Q33</f>
        <v>0</v>
      </c>
      <c r="H85" s="76"/>
      <c r="I85" s="78">
        <f>TradingLogTable3[[#This Row],[Quantity (positive number)]]*TradingLogTable3[[#This Row],[Price per Unit]]</f>
        <v>0</v>
      </c>
      <c r="J85" s="76"/>
      <c r="K85" s="79">
        <f>I85+J85</f>
        <v>0</v>
      </c>
      <c r="L85" s="76"/>
      <c r="M85" s="80"/>
    </row>
    <row r="86" spans="1:17">
      <c r="A86" s="44"/>
      <c r="B86" s="4"/>
      <c r="C86" s="4"/>
      <c r="E86" s="4"/>
      <c r="F86" s="4"/>
      <c r="H86" s="4"/>
      <c r="I86" s="3" t="e">
        <f ca="1">_xlfn.FORMULATEXT(#REF!)</f>
        <v>#REF!</v>
      </c>
      <c r="K86" s="12"/>
      <c r="L86" s="4"/>
    </row>
    <row r="87" spans="1:17">
      <c r="H87" s="4"/>
    </row>
    <row r="88" spans="1:17">
      <c r="H88" s="4"/>
      <c r="K88" s="12"/>
    </row>
    <row r="89" spans="1:17">
      <c r="H89" s="4"/>
    </row>
    <row r="90" spans="1:17">
      <c r="A90" s="46"/>
      <c r="B90" s="47"/>
      <c r="C90" s="47"/>
      <c r="D90" s="47"/>
      <c r="E90" s="47"/>
      <c r="F90" s="47"/>
      <c r="G90" s="48"/>
      <c r="H90" s="47"/>
      <c r="I90" s="50"/>
      <c r="J90" s="47"/>
      <c r="K90" s="51"/>
      <c r="L90" s="47"/>
      <c r="M90" s="70"/>
      <c r="Q90" s="6"/>
    </row>
    <row r="91" spans="1:17">
      <c r="M91" s="72"/>
    </row>
    <row r="92" spans="1:17">
      <c r="M92" s="72"/>
    </row>
    <row r="93" spans="1:17">
      <c r="M93" s="72"/>
    </row>
    <row r="94" spans="1:17">
      <c r="M94" s="72"/>
    </row>
    <row r="95" spans="1:17">
      <c r="M95" s="72"/>
    </row>
    <row r="96" spans="1:17">
      <c r="M96" s="72"/>
    </row>
    <row r="97" spans="13:15">
      <c r="M97" s="72"/>
      <c r="O97" s="3">
        <f>COUNT(G3:G29)</f>
        <v>27</v>
      </c>
    </row>
    <row r="98" spans="13:15">
      <c r="M98" s="72"/>
    </row>
    <row r="99" spans="13:15">
      <c r="M99" s="72"/>
    </row>
    <row r="100" spans="13:15">
      <c r="M100" s="72"/>
    </row>
    <row r="101" spans="13:15">
      <c r="M101" s="72"/>
    </row>
    <row r="102" spans="13:15">
      <c r="M102" s="72"/>
    </row>
    <row r="103" spans="13:15">
      <c r="M103" s="72"/>
    </row>
    <row r="104" spans="13:15">
      <c r="M104" s="72"/>
    </row>
    <row r="105" spans="13:15">
      <c r="M105" s="73"/>
    </row>
    <row r="106" spans="13:15">
      <c r="M106" s="73"/>
    </row>
    <row r="107" spans="13:15">
      <c r="M107" s="73"/>
    </row>
    <row r="108" spans="13:15">
      <c r="M108" s="73"/>
    </row>
    <row r="109" spans="13:15">
      <c r="M109" s="73"/>
    </row>
    <row r="110" spans="13:15">
      <c r="M110" s="73"/>
    </row>
    <row r="111" spans="13:15">
      <c r="M111" s="73"/>
    </row>
    <row r="112" spans="13:15">
      <c r="M112" s="74"/>
    </row>
    <row r="113" spans="11:11">
      <c r="K113"/>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D3CB8535-B4A2-42CF-8865-BC7FE6D7341C}">
          <x14:formula1>
            <xm:f>VALIDATION_LISTS!$C$1:$C$8</xm:f>
          </x14:formula1>
          <xm:sqref>H87:H88 H3 H54 H113:H1067 H34 H90</xm:sqref>
        </x14:dataValidation>
        <x14:dataValidation type="list" allowBlank="1" showInputMessage="1" showErrorMessage="1" xr:uid="{7666CB00-876A-4D62-873E-1DDF13269D00}">
          <x14:formula1>
            <xm:f>VALIDATION_LISTS!$B$1:$B$10</xm:f>
          </x14:formula1>
          <xm:sqref>E3 E87:E88 E113:E1064 E34 E90</xm:sqref>
        </x14:dataValidation>
        <x14:dataValidation type="list" allowBlank="1" showInputMessage="1" showErrorMessage="1" xr:uid="{D7159ECB-05B5-4EB8-8768-22B5021EE402}">
          <x14:formula1>
            <xm:f>VALIDATION_LISTS!$A$1:$A$4</xm:f>
          </x14:formula1>
          <xm:sqref>B87:B88 B3 B90 B113:B1065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O92"/>
  <sheetViews>
    <sheetView topLeftCell="D1" zoomScale="58" zoomScaleNormal="70" workbookViewId="0">
      <pane ySplit="1" topLeftCell="A52" activePane="bottomLeft" state="frozen"/>
      <selection pane="bottomLeft" activeCell="I14" sqref="I14"/>
    </sheetView>
  </sheetViews>
  <sheetFormatPr defaultColWidth="20.140625" defaultRowHeight="22.15"/>
  <cols>
    <col min="1" max="1" width="26" style="45" bestFit="1" customWidth="1"/>
    <col min="2" max="2" width="27.85546875" style="3" customWidth="1"/>
    <col min="3" max="3" width="20.140625" style="3"/>
    <col min="4" max="4" width="48.28515625" style="4" customWidth="1"/>
    <col min="5" max="6" width="20.140625" style="3"/>
    <col min="7" max="7" width="20.140625" style="5"/>
    <col min="8" max="9" width="20.140625" style="3"/>
    <col min="10" max="10" width="24.28515625" style="3" customWidth="1"/>
    <col min="11" max="11" width="20.140625" style="5"/>
    <col min="12" max="12" width="20.140625" style="3"/>
    <col min="13" max="13" width="147.7109375" style="6" bestFit="1" customWidth="1"/>
    <col min="14" max="14" width="39.7109375" style="6" customWidth="1"/>
    <col min="15" max="15" width="20.140625" style="3"/>
    <col min="16" max="16" width="62.28515625" style="3" bestFit="1" customWidth="1"/>
    <col min="17" max="17" width="25" style="3" customWidth="1"/>
    <col min="18" max="18" width="28" style="3" customWidth="1"/>
    <col min="19" max="26" width="20.140625" style="3"/>
    <col min="27" max="27" width="20.140625" style="3" customWidth="1"/>
    <col min="28" max="30" width="20.140625" style="3"/>
    <col min="31" max="31" width="24.42578125" style="3" customWidth="1"/>
    <col min="32" max="16384" width="20.140625" style="3"/>
  </cols>
  <sheetData>
    <row r="1" spans="1:13" s="6" customFormat="1" ht="99">
      <c r="A1" s="42" t="s">
        <v>16</v>
      </c>
      <c r="B1" s="13" t="s">
        <v>17</v>
      </c>
      <c r="C1" s="13" t="s">
        <v>18</v>
      </c>
      <c r="D1" s="13" t="s">
        <v>19</v>
      </c>
      <c r="E1" s="13" t="s">
        <v>20</v>
      </c>
      <c r="F1" s="13" t="s">
        <v>21</v>
      </c>
      <c r="G1" s="14" t="s">
        <v>22</v>
      </c>
      <c r="H1" s="13" t="s">
        <v>23</v>
      </c>
      <c r="I1" s="13" t="s">
        <v>24</v>
      </c>
      <c r="J1" s="13" t="s">
        <v>25</v>
      </c>
      <c r="K1" s="14" t="s">
        <v>26</v>
      </c>
      <c r="L1" s="13" t="s">
        <v>27</v>
      </c>
      <c r="M1" s="13" t="s">
        <v>28</v>
      </c>
    </row>
    <row r="2" spans="1:13">
      <c r="A2" s="52">
        <v>46065</v>
      </c>
      <c r="B2" s="53" t="s">
        <v>91</v>
      </c>
      <c r="C2" s="53" t="s">
        <v>30</v>
      </c>
      <c r="D2" s="53" t="s">
        <v>31</v>
      </c>
      <c r="E2" s="53" t="s">
        <v>32</v>
      </c>
      <c r="F2" s="53">
        <v>295</v>
      </c>
      <c r="G2" s="54">
        <v>684.89</v>
      </c>
      <c r="H2" s="55" t="s">
        <v>33</v>
      </c>
      <c r="I2" s="56">
        <f>TradingLogTable[[#This Row],[Quantity (positive number)]]*TradingLogTable[[#This Row],[Price per Unit]]</f>
        <v>202042.55</v>
      </c>
      <c r="J2" s="55">
        <v>10</v>
      </c>
      <c r="K2" s="57">
        <f>I2+J2</f>
        <v>202052.55</v>
      </c>
      <c r="L2" s="53">
        <v>295</v>
      </c>
      <c r="M2" s="58" t="s">
        <v>164</v>
      </c>
    </row>
    <row r="3" spans="1:13">
      <c r="A3" s="52">
        <v>46065</v>
      </c>
      <c r="B3" s="53" t="s">
        <v>91</v>
      </c>
      <c r="C3" s="53" t="s">
        <v>84</v>
      </c>
      <c r="D3" s="53" t="s">
        <v>165</v>
      </c>
      <c r="E3" s="53" t="s">
        <v>40</v>
      </c>
      <c r="F3" s="53">
        <v>100</v>
      </c>
      <c r="G3" s="54">
        <v>643.25</v>
      </c>
      <c r="H3" s="55" t="s">
        <v>33</v>
      </c>
      <c r="I3" s="56">
        <f>TradingLogTable[[#This Row],[Quantity (positive number)]]*TradingLogTable[[#This Row],[Price per Unit]]</f>
        <v>64325</v>
      </c>
      <c r="J3" s="55">
        <v>10</v>
      </c>
      <c r="K3" s="57">
        <f t="shared" ref="K3:K16" si="0">I3+J3</f>
        <v>64335</v>
      </c>
      <c r="L3" s="53">
        <v>100</v>
      </c>
      <c r="M3" s="58" t="s">
        <v>166</v>
      </c>
    </row>
    <row r="4" spans="1:13">
      <c r="A4" s="52">
        <v>46065</v>
      </c>
      <c r="B4" s="53" t="s">
        <v>91</v>
      </c>
      <c r="C4" s="53" t="s">
        <v>35</v>
      </c>
      <c r="D4" s="53" t="s">
        <v>36</v>
      </c>
      <c r="E4" s="53" t="s">
        <v>32</v>
      </c>
      <c r="F4" s="53">
        <v>875</v>
      </c>
      <c r="G4" s="54">
        <v>89.52</v>
      </c>
      <c r="H4" s="55" t="s">
        <v>33</v>
      </c>
      <c r="I4" s="56">
        <f>TradingLogTable[[#This Row],[Quantity (positive number)]]*TradingLogTable[[#This Row],[Price per Unit]]</f>
        <v>78330</v>
      </c>
      <c r="J4" s="55">
        <v>10</v>
      </c>
      <c r="K4" s="57">
        <f t="shared" si="0"/>
        <v>78340</v>
      </c>
      <c r="L4" s="53">
        <v>875</v>
      </c>
      <c r="M4" s="58" t="s">
        <v>167</v>
      </c>
    </row>
    <row r="5" spans="1:13">
      <c r="A5" s="52">
        <v>46065</v>
      </c>
      <c r="B5" s="53" t="s">
        <v>91</v>
      </c>
      <c r="C5" s="53" t="s">
        <v>38</v>
      </c>
      <c r="D5" s="53" t="s">
        <v>39</v>
      </c>
      <c r="E5" s="53" t="s">
        <v>40</v>
      </c>
      <c r="F5" s="53">
        <v>260</v>
      </c>
      <c r="G5" s="54">
        <v>244.64</v>
      </c>
      <c r="H5" s="55" t="s">
        <v>33</v>
      </c>
      <c r="I5" s="56">
        <f>TradingLogTable[[#This Row],[Quantity (positive number)]]*TradingLogTable[[#This Row],[Price per Unit]]</f>
        <v>63606.399999999994</v>
      </c>
      <c r="J5" s="55">
        <v>10</v>
      </c>
      <c r="K5" s="57">
        <f t="shared" si="0"/>
        <v>63616.399999999994</v>
      </c>
      <c r="L5" s="53">
        <v>260</v>
      </c>
      <c r="M5" s="58" t="s">
        <v>168</v>
      </c>
    </row>
    <row r="6" spans="1:13">
      <c r="A6" s="52">
        <v>46065</v>
      </c>
      <c r="B6" s="53" t="s">
        <v>91</v>
      </c>
      <c r="C6" s="53" t="s">
        <v>42</v>
      </c>
      <c r="D6" s="53" t="s">
        <v>169</v>
      </c>
      <c r="E6" s="53" t="s">
        <v>40</v>
      </c>
      <c r="F6" s="53">
        <v>235</v>
      </c>
      <c r="G6" s="54">
        <v>162.44999999999999</v>
      </c>
      <c r="H6" s="55" t="s">
        <v>33</v>
      </c>
      <c r="I6" s="56">
        <f>TradingLogTable[[#This Row],[Quantity (positive number)]]*TradingLogTable[[#This Row],[Price per Unit]]</f>
        <v>38175.75</v>
      </c>
      <c r="J6" s="55">
        <v>10</v>
      </c>
      <c r="K6" s="57">
        <f t="shared" si="0"/>
        <v>38185.75</v>
      </c>
      <c r="L6" s="53">
        <v>235</v>
      </c>
      <c r="M6" s="58" t="s">
        <v>170</v>
      </c>
    </row>
    <row r="7" spans="1:13">
      <c r="A7" s="52">
        <v>46065</v>
      </c>
      <c r="B7" s="53" t="s">
        <v>91</v>
      </c>
      <c r="C7" s="53" t="s">
        <v>45</v>
      </c>
      <c r="D7" s="53" t="s">
        <v>46</v>
      </c>
      <c r="E7" s="53" t="s">
        <v>40</v>
      </c>
      <c r="F7" s="53">
        <v>570</v>
      </c>
      <c r="G7" s="54">
        <v>132.94999999999999</v>
      </c>
      <c r="H7" s="55" t="s">
        <v>33</v>
      </c>
      <c r="I7" s="56">
        <f>TradingLogTable[[#This Row],[Quantity (positive number)]]*TradingLogTable[[#This Row],[Price per Unit]]</f>
        <v>75781.5</v>
      </c>
      <c r="J7" s="55">
        <v>10</v>
      </c>
      <c r="K7" s="57">
        <f t="shared" si="0"/>
        <v>75791.5</v>
      </c>
      <c r="L7" s="53">
        <v>570</v>
      </c>
      <c r="M7" s="58" t="s">
        <v>171</v>
      </c>
    </row>
    <row r="8" spans="1:13">
      <c r="A8" s="52">
        <v>46065</v>
      </c>
      <c r="B8" s="53" t="s">
        <v>91</v>
      </c>
      <c r="C8" s="53" t="s">
        <v>48</v>
      </c>
      <c r="D8" s="53" t="s">
        <v>49</v>
      </c>
      <c r="E8" s="53" t="s">
        <v>32</v>
      </c>
      <c r="F8" s="53">
        <v>800</v>
      </c>
      <c r="G8" s="54">
        <v>45.45</v>
      </c>
      <c r="H8" s="55" t="s">
        <v>33</v>
      </c>
      <c r="I8" s="56">
        <f>TradingLogTable[[#This Row],[Quantity (positive number)]]*TradingLogTable[[#This Row],[Price per Unit]]</f>
        <v>36360</v>
      </c>
      <c r="J8" s="55">
        <v>10</v>
      </c>
      <c r="K8" s="57">
        <f t="shared" si="0"/>
        <v>36370</v>
      </c>
      <c r="L8" s="53">
        <v>800</v>
      </c>
      <c r="M8" s="58" t="s">
        <v>172</v>
      </c>
    </row>
    <row r="9" spans="1:13">
      <c r="A9" s="52">
        <v>46070</v>
      </c>
      <c r="B9" s="53" t="s">
        <v>91</v>
      </c>
      <c r="C9" s="53" t="s">
        <v>51</v>
      </c>
      <c r="D9" s="53" t="s">
        <v>173</v>
      </c>
      <c r="E9" s="53" t="s">
        <v>40</v>
      </c>
      <c r="F9" s="53">
        <v>230</v>
      </c>
      <c r="G9" s="54">
        <v>363.94</v>
      </c>
      <c r="H9" s="55" t="s">
        <v>33</v>
      </c>
      <c r="I9" s="56">
        <f>TradingLogTable[[#This Row],[Quantity (positive number)]]*TradingLogTable[[#This Row],[Price per Unit]]</f>
        <v>83706.2</v>
      </c>
      <c r="J9" s="55">
        <v>10</v>
      </c>
      <c r="K9" s="57">
        <f t="shared" si="0"/>
        <v>83716.2</v>
      </c>
      <c r="L9" s="53">
        <v>230</v>
      </c>
      <c r="M9" s="58" t="s">
        <v>174</v>
      </c>
    </row>
    <row r="10" spans="1:13">
      <c r="A10" s="52">
        <v>46070</v>
      </c>
      <c r="B10" s="53" t="s">
        <v>91</v>
      </c>
      <c r="C10" s="53" t="s">
        <v>55</v>
      </c>
      <c r="D10" s="53" t="s">
        <v>56</v>
      </c>
      <c r="E10" s="53" t="s">
        <v>40</v>
      </c>
      <c r="F10" s="53">
        <v>110</v>
      </c>
      <c r="G10" s="54">
        <v>408.82</v>
      </c>
      <c r="H10" s="55" t="s">
        <v>33</v>
      </c>
      <c r="I10" s="56">
        <f>TradingLogTable[[#This Row],[Quantity (positive number)]]*TradingLogTable[[#This Row],[Price per Unit]]</f>
        <v>44970.2</v>
      </c>
      <c r="J10" s="55">
        <v>10</v>
      </c>
      <c r="K10" s="57">
        <f t="shared" si="0"/>
        <v>44980.2</v>
      </c>
      <c r="L10" s="53">
        <v>110</v>
      </c>
      <c r="M10" s="58" t="s">
        <v>175</v>
      </c>
    </row>
    <row r="11" spans="1:13">
      <c r="A11" s="52">
        <v>46070</v>
      </c>
      <c r="B11" s="53" t="s">
        <v>91</v>
      </c>
      <c r="C11" s="53" t="s">
        <v>58</v>
      </c>
      <c r="D11" s="53" t="s">
        <v>176</v>
      </c>
      <c r="E11" s="53" t="s">
        <v>40</v>
      </c>
      <c r="F11" s="53">
        <v>388</v>
      </c>
      <c r="G11" s="54">
        <v>131.47999999999999</v>
      </c>
      <c r="H11" s="55" t="s">
        <v>33</v>
      </c>
      <c r="I11" s="56">
        <f>TradingLogTable[[#This Row],[Quantity (positive number)]]*TradingLogTable[[#This Row],[Price per Unit]]</f>
        <v>51014.239999999998</v>
      </c>
      <c r="J11" s="55">
        <v>10</v>
      </c>
      <c r="K11" s="57">
        <f t="shared" si="0"/>
        <v>51024.24</v>
      </c>
      <c r="L11" s="53">
        <v>388</v>
      </c>
      <c r="M11" s="58" t="s">
        <v>177</v>
      </c>
    </row>
    <row r="12" spans="1:13">
      <c r="A12" s="52">
        <v>46070</v>
      </c>
      <c r="B12" s="53" t="s">
        <v>91</v>
      </c>
      <c r="C12" s="53" t="s">
        <v>61</v>
      </c>
      <c r="D12" s="53" t="s">
        <v>62</v>
      </c>
      <c r="E12" s="53" t="s">
        <v>40</v>
      </c>
      <c r="F12" s="53">
        <v>150</v>
      </c>
      <c r="G12" s="54">
        <v>306.82</v>
      </c>
      <c r="H12" s="55" t="s">
        <v>33</v>
      </c>
      <c r="I12" s="56">
        <f>TradingLogTable[[#This Row],[Quantity (positive number)]]*TradingLogTable[[#This Row],[Price per Unit]]</f>
        <v>46023</v>
      </c>
      <c r="J12" s="55">
        <v>10</v>
      </c>
      <c r="K12" s="57">
        <f t="shared" si="0"/>
        <v>46033</v>
      </c>
      <c r="L12" s="53">
        <v>150</v>
      </c>
      <c r="M12" s="58" t="s">
        <v>178</v>
      </c>
    </row>
    <row r="13" spans="1:13">
      <c r="A13" s="52">
        <v>46070</v>
      </c>
      <c r="B13" s="53" t="s">
        <v>91</v>
      </c>
      <c r="C13" s="53" t="s">
        <v>64</v>
      </c>
      <c r="D13" s="53" t="s">
        <v>65</v>
      </c>
      <c r="E13" s="53" t="s">
        <v>40</v>
      </c>
      <c r="F13" s="53">
        <v>250</v>
      </c>
      <c r="G13" s="54">
        <v>200.87</v>
      </c>
      <c r="H13" s="55" t="s">
        <v>33</v>
      </c>
      <c r="I13" s="56">
        <f>TradingLogTable[[#This Row],[Quantity (positive number)]]*TradingLogTable[[#This Row],[Price per Unit]]</f>
        <v>50217.5</v>
      </c>
      <c r="J13" s="55">
        <v>10</v>
      </c>
      <c r="K13" s="57">
        <f t="shared" si="0"/>
        <v>50227.5</v>
      </c>
      <c r="L13" s="53">
        <v>250</v>
      </c>
      <c r="M13" s="58" t="s">
        <v>179</v>
      </c>
    </row>
    <row r="14" spans="1:13">
      <c r="A14" s="52">
        <v>46070</v>
      </c>
      <c r="B14" s="53" t="s">
        <v>91</v>
      </c>
      <c r="C14" s="53" t="s">
        <v>67</v>
      </c>
      <c r="D14" s="53" t="s">
        <v>180</v>
      </c>
      <c r="E14" s="53" t="s">
        <v>40</v>
      </c>
      <c r="F14" s="53">
        <v>130</v>
      </c>
      <c r="G14" s="54">
        <v>302.22000000000003</v>
      </c>
      <c r="H14" s="55" t="s">
        <v>33</v>
      </c>
      <c r="I14" s="56">
        <f>TradingLogTable[[#This Row],[Quantity (positive number)]]*TradingLogTable[[#This Row],[Price per Unit]]</f>
        <v>39288.600000000006</v>
      </c>
      <c r="J14" s="55">
        <v>10</v>
      </c>
      <c r="K14" s="57">
        <f t="shared" si="0"/>
        <v>39298.600000000006</v>
      </c>
      <c r="L14" s="53">
        <v>130</v>
      </c>
      <c r="M14" s="58" t="s">
        <v>181</v>
      </c>
    </row>
    <row r="15" spans="1:13">
      <c r="A15" s="52">
        <v>46070</v>
      </c>
      <c r="B15" s="53" t="s">
        <v>91</v>
      </c>
      <c r="C15" s="53" t="s">
        <v>70</v>
      </c>
      <c r="D15" s="53" t="s">
        <v>71</v>
      </c>
      <c r="E15" s="53" t="s">
        <v>40</v>
      </c>
      <c r="F15" s="53">
        <v>140</v>
      </c>
      <c r="G15" s="54">
        <v>329.44</v>
      </c>
      <c r="H15" s="55" t="s">
        <v>33</v>
      </c>
      <c r="I15" s="56">
        <f>TradingLogTable[[#This Row],[Quantity (positive number)]]*TradingLogTable[[#This Row],[Price per Unit]]</f>
        <v>46121.599999999999</v>
      </c>
      <c r="J15" s="55">
        <v>10</v>
      </c>
      <c r="K15" s="57">
        <f t="shared" si="0"/>
        <v>46131.6</v>
      </c>
      <c r="L15" s="53">
        <v>140</v>
      </c>
      <c r="M15" s="58" t="s">
        <v>182</v>
      </c>
    </row>
    <row r="16" spans="1:13">
      <c r="A16" s="52">
        <v>46070</v>
      </c>
      <c r="B16" s="53" t="s">
        <v>91</v>
      </c>
      <c r="C16" s="53" t="s">
        <v>73</v>
      </c>
      <c r="D16" s="53" t="s">
        <v>74</v>
      </c>
      <c r="E16" s="53" t="s">
        <v>40</v>
      </c>
      <c r="F16" s="53">
        <v>800</v>
      </c>
      <c r="G16" s="54">
        <v>33.6</v>
      </c>
      <c r="H16" s="55" t="s">
        <v>33</v>
      </c>
      <c r="I16" s="56">
        <f>TradingLogTable[[#This Row],[Quantity (positive number)]]*TradingLogTable[[#This Row],[Price per Unit]]</f>
        <v>26880</v>
      </c>
      <c r="J16" s="55">
        <v>10</v>
      </c>
      <c r="K16" s="57">
        <f t="shared" si="0"/>
        <v>26890</v>
      </c>
      <c r="L16" s="53">
        <v>800</v>
      </c>
      <c r="M16" s="58" t="s">
        <v>183</v>
      </c>
    </row>
    <row r="17" spans="1:14" ht="22.9" thickBot="1">
      <c r="A17" s="59"/>
      <c r="B17" s="60"/>
      <c r="C17" s="60"/>
      <c r="D17" s="60"/>
      <c r="E17" s="60"/>
      <c r="F17" s="60"/>
      <c r="G17" s="61"/>
      <c r="H17" s="62"/>
      <c r="I17" s="63"/>
      <c r="J17" s="62"/>
      <c r="K17" s="64"/>
      <c r="L17" s="60"/>
      <c r="M17" s="65"/>
    </row>
    <row r="18" spans="1:14" ht="41.45" thickBot="1">
      <c r="A18" s="52">
        <v>46083</v>
      </c>
      <c r="B18" s="53" t="s">
        <v>29</v>
      </c>
      <c r="C18" s="53" t="s">
        <v>30</v>
      </c>
      <c r="D18" s="53" t="s">
        <v>31</v>
      </c>
      <c r="E18" s="53" t="s">
        <v>32</v>
      </c>
      <c r="F18" s="53">
        <v>295</v>
      </c>
      <c r="G18" s="54">
        <v>684.89</v>
      </c>
      <c r="H18" s="55" t="s">
        <v>33</v>
      </c>
      <c r="I18" s="56">
        <f>TradingLogTable[[#This Row],[Quantity (positive number)]]*TradingLogTable[[#This Row],[Price per Unit]]</f>
        <v>202042.55</v>
      </c>
      <c r="J18" s="55">
        <v>10</v>
      </c>
      <c r="K18" s="57">
        <f t="shared" ref="K18:K32" si="1">I18+J18</f>
        <v>202052.55</v>
      </c>
      <c r="L18" s="53">
        <v>295</v>
      </c>
      <c r="M18" s="66" t="s">
        <v>184</v>
      </c>
    </row>
    <row r="19" spans="1:14" ht="41.45" thickBot="1">
      <c r="A19" s="52">
        <v>46083</v>
      </c>
      <c r="B19" s="53" t="s">
        <v>29</v>
      </c>
      <c r="C19" s="53" t="s">
        <v>84</v>
      </c>
      <c r="D19" s="53" t="s">
        <v>165</v>
      </c>
      <c r="E19" s="53" t="s">
        <v>40</v>
      </c>
      <c r="F19" s="53">
        <v>100</v>
      </c>
      <c r="G19" s="54">
        <v>643.25</v>
      </c>
      <c r="H19" s="55" t="s">
        <v>33</v>
      </c>
      <c r="I19" s="56">
        <f>TradingLogTable[[#This Row],[Quantity (positive number)]]*TradingLogTable[[#This Row],[Price per Unit]]</f>
        <v>64325</v>
      </c>
      <c r="J19" s="55">
        <v>10</v>
      </c>
      <c r="K19" s="57">
        <f t="shared" si="1"/>
        <v>64335</v>
      </c>
      <c r="L19" s="53">
        <v>100</v>
      </c>
      <c r="M19" s="66" t="s">
        <v>185</v>
      </c>
      <c r="N19" s="11"/>
    </row>
    <row r="20" spans="1:14" ht="41.45" thickBot="1">
      <c r="A20" s="52">
        <v>46083</v>
      </c>
      <c r="B20" s="53" t="s">
        <v>29</v>
      </c>
      <c r="C20" s="53" t="s">
        <v>35</v>
      </c>
      <c r="D20" s="53" t="s">
        <v>36</v>
      </c>
      <c r="E20" s="53" t="s">
        <v>32</v>
      </c>
      <c r="F20" s="53">
        <v>875</v>
      </c>
      <c r="G20" s="54">
        <v>89.52</v>
      </c>
      <c r="H20" s="55" t="s">
        <v>33</v>
      </c>
      <c r="I20" s="56">
        <f>TradingLogTable[[#This Row],[Quantity (positive number)]]*TradingLogTable[[#This Row],[Price per Unit]]</f>
        <v>78330</v>
      </c>
      <c r="J20" s="55">
        <v>10</v>
      </c>
      <c r="K20" s="57">
        <f t="shared" si="1"/>
        <v>78340</v>
      </c>
      <c r="L20" s="53">
        <v>875</v>
      </c>
      <c r="M20" s="66" t="s">
        <v>186</v>
      </c>
      <c r="N20" s="11"/>
    </row>
    <row r="21" spans="1:14" ht="22.9" thickBot="1">
      <c r="A21" s="52">
        <v>46083</v>
      </c>
      <c r="B21" s="53" t="s">
        <v>29</v>
      </c>
      <c r="C21" s="53" t="s">
        <v>38</v>
      </c>
      <c r="D21" s="53" t="s">
        <v>39</v>
      </c>
      <c r="E21" s="53" t="s">
        <v>40</v>
      </c>
      <c r="F21" s="53">
        <v>260</v>
      </c>
      <c r="G21" s="54">
        <v>244.64</v>
      </c>
      <c r="H21" s="55" t="s">
        <v>33</v>
      </c>
      <c r="I21" s="56">
        <f>TradingLogTable[[#This Row],[Quantity (positive number)]]*TradingLogTable[[#This Row],[Price per Unit]]</f>
        <v>63606.399999999994</v>
      </c>
      <c r="J21" s="55">
        <v>10</v>
      </c>
      <c r="K21" s="57">
        <f t="shared" si="1"/>
        <v>63616.399999999994</v>
      </c>
      <c r="L21" s="53">
        <v>260</v>
      </c>
      <c r="M21" s="66" t="s">
        <v>187</v>
      </c>
    </row>
    <row r="22" spans="1:14" ht="22.9" thickBot="1">
      <c r="A22" s="52">
        <v>46083</v>
      </c>
      <c r="B22" s="53" t="s">
        <v>29</v>
      </c>
      <c r="C22" s="53" t="s">
        <v>42</v>
      </c>
      <c r="D22" s="53" t="s">
        <v>169</v>
      </c>
      <c r="E22" s="53" t="s">
        <v>40</v>
      </c>
      <c r="F22" s="53">
        <v>235</v>
      </c>
      <c r="G22" s="54">
        <v>162.44999999999999</v>
      </c>
      <c r="H22" s="55" t="s">
        <v>33</v>
      </c>
      <c r="I22" s="56">
        <f>TradingLogTable[[#This Row],[Quantity (positive number)]]*TradingLogTable[[#This Row],[Price per Unit]]</f>
        <v>38175.75</v>
      </c>
      <c r="J22" s="55">
        <v>10</v>
      </c>
      <c r="K22" s="57">
        <f t="shared" si="1"/>
        <v>38185.75</v>
      </c>
      <c r="L22" s="53">
        <v>235</v>
      </c>
      <c r="M22" s="66" t="s">
        <v>188</v>
      </c>
    </row>
    <row r="23" spans="1:14" ht="41.45" thickBot="1">
      <c r="A23" s="52">
        <v>46083</v>
      </c>
      <c r="B23" s="53" t="s">
        <v>29</v>
      </c>
      <c r="C23" s="53" t="s">
        <v>45</v>
      </c>
      <c r="D23" s="53" t="s">
        <v>46</v>
      </c>
      <c r="E23" s="53" t="s">
        <v>40</v>
      </c>
      <c r="F23" s="53">
        <v>570</v>
      </c>
      <c r="G23" s="54">
        <v>132.94999999999999</v>
      </c>
      <c r="H23" s="55" t="s">
        <v>33</v>
      </c>
      <c r="I23" s="56">
        <f>TradingLogTable[[#This Row],[Quantity (positive number)]]*TradingLogTable[[#This Row],[Price per Unit]]</f>
        <v>75781.5</v>
      </c>
      <c r="J23" s="55">
        <v>10</v>
      </c>
      <c r="K23" s="57">
        <f t="shared" si="1"/>
        <v>75791.5</v>
      </c>
      <c r="L23" s="53">
        <v>570</v>
      </c>
      <c r="M23" s="66" t="s">
        <v>189</v>
      </c>
    </row>
    <row r="24" spans="1:14" ht="22.9" thickBot="1">
      <c r="A24" s="52">
        <v>46083</v>
      </c>
      <c r="B24" s="53" t="s">
        <v>29</v>
      </c>
      <c r="C24" s="53" t="s">
        <v>48</v>
      </c>
      <c r="D24" s="53" t="s">
        <v>49</v>
      </c>
      <c r="E24" s="53" t="s">
        <v>32</v>
      </c>
      <c r="F24" s="53">
        <v>800</v>
      </c>
      <c r="G24" s="54">
        <v>45.45</v>
      </c>
      <c r="H24" s="55" t="s">
        <v>33</v>
      </c>
      <c r="I24" s="56">
        <f>TradingLogTable[[#This Row],[Quantity (positive number)]]*TradingLogTable[[#This Row],[Price per Unit]]</f>
        <v>36360</v>
      </c>
      <c r="J24" s="55">
        <v>10</v>
      </c>
      <c r="K24" s="57">
        <f t="shared" si="1"/>
        <v>36370</v>
      </c>
      <c r="L24" s="53">
        <v>800</v>
      </c>
      <c r="M24" s="66" t="s">
        <v>190</v>
      </c>
    </row>
    <row r="25" spans="1:14" ht="22.9" thickBot="1">
      <c r="A25" s="52">
        <v>46083</v>
      </c>
      <c r="B25" s="53" t="s">
        <v>29</v>
      </c>
      <c r="C25" s="53" t="s">
        <v>51</v>
      </c>
      <c r="D25" s="53" t="s">
        <v>173</v>
      </c>
      <c r="E25" s="53" t="s">
        <v>40</v>
      </c>
      <c r="F25" s="53">
        <v>230</v>
      </c>
      <c r="G25" s="54">
        <v>363.94</v>
      </c>
      <c r="H25" s="55" t="s">
        <v>33</v>
      </c>
      <c r="I25" s="56">
        <f>TradingLogTable[[#This Row],[Quantity (positive number)]]*TradingLogTable[[#This Row],[Price per Unit]]</f>
        <v>83706.2</v>
      </c>
      <c r="J25" s="55">
        <v>10</v>
      </c>
      <c r="K25" s="57">
        <f t="shared" si="1"/>
        <v>83716.2</v>
      </c>
      <c r="L25" s="53">
        <v>230</v>
      </c>
      <c r="M25" s="66" t="s">
        <v>191</v>
      </c>
    </row>
    <row r="26" spans="1:14" ht="41.45" thickBot="1">
      <c r="A26" s="52">
        <v>46083</v>
      </c>
      <c r="B26" s="53" t="s">
        <v>29</v>
      </c>
      <c r="C26" s="53" t="s">
        <v>55</v>
      </c>
      <c r="D26" s="53" t="s">
        <v>56</v>
      </c>
      <c r="E26" s="53" t="s">
        <v>40</v>
      </c>
      <c r="F26" s="53">
        <v>110</v>
      </c>
      <c r="G26" s="54">
        <v>408.82</v>
      </c>
      <c r="H26" s="55" t="s">
        <v>33</v>
      </c>
      <c r="I26" s="56">
        <f>TradingLogTable[[#This Row],[Quantity (positive number)]]*TradingLogTable[[#This Row],[Price per Unit]]</f>
        <v>44970.2</v>
      </c>
      <c r="J26" s="55">
        <v>10</v>
      </c>
      <c r="K26" s="57">
        <f t="shared" si="1"/>
        <v>44980.2</v>
      </c>
      <c r="L26" s="53">
        <v>110</v>
      </c>
      <c r="M26" s="66" t="s">
        <v>192</v>
      </c>
    </row>
    <row r="27" spans="1:14" ht="22.9" thickBot="1">
      <c r="A27" s="52">
        <v>46083</v>
      </c>
      <c r="B27" s="53" t="s">
        <v>29</v>
      </c>
      <c r="C27" s="53" t="s">
        <v>58</v>
      </c>
      <c r="D27" s="53" t="s">
        <v>176</v>
      </c>
      <c r="E27" s="53" t="s">
        <v>40</v>
      </c>
      <c r="F27" s="53">
        <v>388</v>
      </c>
      <c r="G27" s="54">
        <v>131.47999999999999</v>
      </c>
      <c r="H27" s="55" t="s">
        <v>33</v>
      </c>
      <c r="I27" s="56">
        <f>TradingLogTable[[#This Row],[Quantity (positive number)]]*TradingLogTable[[#This Row],[Price per Unit]]</f>
        <v>51014.239999999998</v>
      </c>
      <c r="J27" s="55">
        <v>10</v>
      </c>
      <c r="K27" s="57">
        <f t="shared" si="1"/>
        <v>51024.24</v>
      </c>
      <c r="L27" s="53">
        <v>388</v>
      </c>
      <c r="M27" s="66" t="s">
        <v>193</v>
      </c>
    </row>
    <row r="28" spans="1:14" ht="22.9" thickBot="1">
      <c r="A28" s="52">
        <v>46083</v>
      </c>
      <c r="B28" s="53" t="s">
        <v>29</v>
      </c>
      <c r="C28" s="53" t="s">
        <v>61</v>
      </c>
      <c r="D28" s="53" t="s">
        <v>62</v>
      </c>
      <c r="E28" s="53" t="s">
        <v>40</v>
      </c>
      <c r="F28" s="53">
        <v>150</v>
      </c>
      <c r="G28" s="54">
        <v>306.82</v>
      </c>
      <c r="H28" s="55" t="s">
        <v>33</v>
      </c>
      <c r="I28" s="56">
        <f>TradingLogTable[[#This Row],[Quantity (positive number)]]*TradingLogTable[[#This Row],[Price per Unit]]</f>
        <v>46023</v>
      </c>
      <c r="J28" s="55">
        <v>10</v>
      </c>
      <c r="K28" s="57">
        <f t="shared" si="1"/>
        <v>46033</v>
      </c>
      <c r="L28" s="53">
        <v>150</v>
      </c>
      <c r="M28" s="67" t="s">
        <v>194</v>
      </c>
    </row>
    <row r="29" spans="1:14" ht="22.9" thickBot="1">
      <c r="A29" s="52">
        <v>46083</v>
      </c>
      <c r="B29" s="53" t="s">
        <v>29</v>
      </c>
      <c r="C29" s="53" t="s">
        <v>64</v>
      </c>
      <c r="D29" s="53" t="s">
        <v>65</v>
      </c>
      <c r="E29" s="53" t="s">
        <v>40</v>
      </c>
      <c r="F29" s="53">
        <v>250</v>
      </c>
      <c r="G29" s="54">
        <v>200.87</v>
      </c>
      <c r="H29" s="55" t="s">
        <v>33</v>
      </c>
      <c r="I29" s="56">
        <f>TradingLogTable[[#This Row],[Quantity (positive number)]]*TradingLogTable[[#This Row],[Price per Unit]]</f>
        <v>50217.5</v>
      </c>
      <c r="J29" s="55">
        <v>10</v>
      </c>
      <c r="K29" s="57">
        <f t="shared" si="1"/>
        <v>50227.5</v>
      </c>
      <c r="L29" s="53">
        <v>250</v>
      </c>
      <c r="M29" s="67" t="s">
        <v>195</v>
      </c>
    </row>
    <row r="30" spans="1:14" ht="22.9" thickBot="1">
      <c r="A30" s="52">
        <v>46083</v>
      </c>
      <c r="B30" s="53" t="s">
        <v>29</v>
      </c>
      <c r="C30" s="53" t="s">
        <v>67</v>
      </c>
      <c r="D30" s="53" t="s">
        <v>180</v>
      </c>
      <c r="E30" s="53" t="s">
        <v>40</v>
      </c>
      <c r="F30" s="53">
        <v>130</v>
      </c>
      <c r="G30" s="54">
        <v>302.22000000000003</v>
      </c>
      <c r="H30" s="55" t="s">
        <v>33</v>
      </c>
      <c r="I30" s="56">
        <f>TradingLogTable[[#This Row],[Quantity (positive number)]]*TradingLogTable[[#This Row],[Price per Unit]]</f>
        <v>39288.600000000006</v>
      </c>
      <c r="J30" s="55">
        <v>10</v>
      </c>
      <c r="K30" s="57">
        <f t="shared" si="1"/>
        <v>39298.600000000006</v>
      </c>
      <c r="L30" s="53">
        <v>130</v>
      </c>
      <c r="M30" s="67" t="s">
        <v>196</v>
      </c>
    </row>
    <row r="31" spans="1:14" ht="22.9" thickBot="1">
      <c r="A31" s="52">
        <v>46083</v>
      </c>
      <c r="B31" s="53" t="s">
        <v>29</v>
      </c>
      <c r="C31" s="53" t="s">
        <v>70</v>
      </c>
      <c r="D31" s="53" t="s">
        <v>71</v>
      </c>
      <c r="E31" s="53" t="s">
        <v>40</v>
      </c>
      <c r="F31" s="53">
        <v>140</v>
      </c>
      <c r="G31" s="54">
        <v>329.44</v>
      </c>
      <c r="H31" s="55" t="s">
        <v>33</v>
      </c>
      <c r="I31" s="56">
        <f>TradingLogTable[[#This Row],[Quantity (positive number)]]*TradingLogTable[[#This Row],[Price per Unit]]</f>
        <v>46121.599999999999</v>
      </c>
      <c r="J31" s="55">
        <v>10</v>
      </c>
      <c r="K31" s="57">
        <f t="shared" si="1"/>
        <v>46131.6</v>
      </c>
      <c r="L31" s="53">
        <v>140</v>
      </c>
      <c r="M31" s="67" t="s">
        <v>197</v>
      </c>
    </row>
    <row r="32" spans="1:14" ht="45" thickBot="1">
      <c r="A32" s="52">
        <v>46083</v>
      </c>
      <c r="B32" s="53" t="s">
        <v>29</v>
      </c>
      <c r="C32" s="53" t="s">
        <v>73</v>
      </c>
      <c r="D32" s="53" t="s">
        <v>74</v>
      </c>
      <c r="E32" s="53" t="s">
        <v>40</v>
      </c>
      <c r="F32" s="53">
        <v>800</v>
      </c>
      <c r="G32" s="54">
        <v>33.6</v>
      </c>
      <c r="H32" s="55" t="s">
        <v>33</v>
      </c>
      <c r="I32" s="56">
        <f>TradingLogTable[[#This Row],[Quantity (positive number)]]*TradingLogTable[[#This Row],[Price per Unit]]</f>
        <v>26880</v>
      </c>
      <c r="J32" s="55">
        <v>10</v>
      </c>
      <c r="K32" s="57">
        <f t="shared" si="1"/>
        <v>26890</v>
      </c>
      <c r="L32" s="53">
        <v>800</v>
      </c>
      <c r="M32" s="67" t="s">
        <v>198</v>
      </c>
    </row>
    <row r="33" spans="1:15" ht="45" thickBot="1">
      <c r="A33" s="52">
        <v>46083</v>
      </c>
      <c r="B33" s="53" t="s">
        <v>91</v>
      </c>
      <c r="C33" s="53" t="s">
        <v>76</v>
      </c>
      <c r="D33" s="71" t="s">
        <v>199</v>
      </c>
      <c r="E33" s="53" t="s">
        <v>32</v>
      </c>
      <c r="F33" s="53">
        <v>60</v>
      </c>
      <c r="G33" s="54">
        <v>57.95</v>
      </c>
      <c r="H33" s="55" t="s">
        <v>33</v>
      </c>
      <c r="I33" s="56">
        <f>TradingLogTable[[#This Row],[Quantity (positive number)]]*TradingLogTable[[#This Row],[Price per Unit]]</f>
        <v>3477</v>
      </c>
      <c r="J33" s="55">
        <v>10</v>
      </c>
      <c r="K33" s="57">
        <f t="shared" ref="K33:K34" si="2">I33+J33</f>
        <v>3487</v>
      </c>
      <c r="L33" s="53">
        <f>TradingLogTable[[#This Row],[Quantity (positive number)]]</f>
        <v>60</v>
      </c>
      <c r="M33" s="67" t="s">
        <v>200</v>
      </c>
    </row>
    <row r="34" spans="1:15" ht="22.9" thickBot="1">
      <c r="A34" s="52">
        <v>46083</v>
      </c>
      <c r="B34" s="53" t="s">
        <v>91</v>
      </c>
      <c r="C34" s="53" t="s">
        <v>79</v>
      </c>
      <c r="D34" s="53" t="s">
        <v>80</v>
      </c>
      <c r="E34" s="53" t="s">
        <v>40</v>
      </c>
      <c r="F34" s="53">
        <v>75</v>
      </c>
      <c r="G34" s="54">
        <v>159.75</v>
      </c>
      <c r="H34" s="55" t="s">
        <v>33</v>
      </c>
      <c r="I34" s="56">
        <f>TradingLogTable[[#This Row],[Quantity (positive number)]]*TradingLogTable[[#This Row],[Price per Unit]]</f>
        <v>11981.25</v>
      </c>
      <c r="J34" s="55">
        <v>10</v>
      </c>
      <c r="K34" s="57">
        <f t="shared" si="2"/>
        <v>11991.25</v>
      </c>
      <c r="L34" s="53">
        <f>TradingLogTable[[#This Row],[Quantity (positive number)]]</f>
        <v>75</v>
      </c>
      <c r="M34" s="67" t="s">
        <v>201</v>
      </c>
    </row>
    <row r="35" spans="1:15" ht="22.9" thickBot="1">
      <c r="A35" s="46"/>
      <c r="B35" s="47"/>
      <c r="C35" s="47"/>
      <c r="D35" s="47"/>
      <c r="E35" s="47"/>
      <c r="F35" s="47"/>
      <c r="G35" s="48"/>
      <c r="H35" s="49"/>
      <c r="I35" s="50"/>
      <c r="J35" s="49"/>
      <c r="K35" s="51"/>
      <c r="L35" s="47"/>
      <c r="M35" s="70"/>
    </row>
    <row r="36" spans="1:15" ht="22.9" thickBot="1">
      <c r="A36" s="43">
        <v>46084</v>
      </c>
      <c r="B36" s="7" t="s">
        <v>29</v>
      </c>
      <c r="C36" s="7" t="s">
        <v>30</v>
      </c>
      <c r="D36" s="7" t="s">
        <v>31</v>
      </c>
      <c r="E36" s="7" t="s">
        <v>32</v>
      </c>
      <c r="F36" s="7">
        <v>295</v>
      </c>
      <c r="G36" s="69">
        <v>684.89</v>
      </c>
      <c r="H36" s="9" t="s">
        <v>33</v>
      </c>
      <c r="I36" s="8">
        <f>TradingLogTable[[#This Row],[Quantity (positive number)]]*TradingLogTable[[#This Row],[Price per Unit]]</f>
        <v>202042.55</v>
      </c>
      <c r="J36" s="9">
        <v>10</v>
      </c>
      <c r="K36" s="10">
        <f t="shared" ref="K36" si="3">I36+J36</f>
        <v>202052.55</v>
      </c>
      <c r="L36" s="7">
        <v>295</v>
      </c>
      <c r="M36" s="39" t="s">
        <v>34</v>
      </c>
    </row>
    <row r="37" spans="1:15" ht="22.9" thickBot="1">
      <c r="A37" s="43">
        <v>46084</v>
      </c>
      <c r="B37" s="7" t="s">
        <v>29</v>
      </c>
      <c r="C37" s="7" t="s">
        <v>35</v>
      </c>
      <c r="D37" s="7" t="s">
        <v>36</v>
      </c>
      <c r="E37" s="7" t="s">
        <v>32</v>
      </c>
      <c r="F37" s="7">
        <v>875</v>
      </c>
      <c r="G37" s="69">
        <v>89.52</v>
      </c>
      <c r="H37" s="9" t="s">
        <v>33</v>
      </c>
      <c r="I37" s="8">
        <v>78330</v>
      </c>
      <c r="J37" s="9">
        <v>10</v>
      </c>
      <c r="K37" s="10">
        <v>78340</v>
      </c>
      <c r="L37" s="7">
        <v>875</v>
      </c>
      <c r="M37" s="39" t="s">
        <v>37</v>
      </c>
    </row>
    <row r="38" spans="1:15" ht="22.9" thickBot="1">
      <c r="A38" s="43">
        <v>46084</v>
      </c>
      <c r="B38" s="7" t="s">
        <v>29</v>
      </c>
      <c r="C38" s="7" t="s">
        <v>38</v>
      </c>
      <c r="D38" s="7" t="s">
        <v>39</v>
      </c>
      <c r="E38" s="7" t="s">
        <v>40</v>
      </c>
      <c r="F38" s="7">
        <v>260</v>
      </c>
      <c r="G38" s="69">
        <v>244.64</v>
      </c>
      <c r="H38" s="9" t="s">
        <v>33</v>
      </c>
      <c r="I38" s="8">
        <v>63606.400000000001</v>
      </c>
      <c r="J38" s="9">
        <v>10</v>
      </c>
      <c r="K38" s="10">
        <v>63616.4</v>
      </c>
      <c r="L38" s="7">
        <v>260</v>
      </c>
      <c r="M38" s="39" t="s">
        <v>41</v>
      </c>
    </row>
    <row r="39" spans="1:15" ht="22.9" thickBot="1">
      <c r="A39" s="43">
        <v>46084</v>
      </c>
      <c r="B39" s="7" t="s">
        <v>29</v>
      </c>
      <c r="C39" s="7" t="s">
        <v>42</v>
      </c>
      <c r="D39" s="7" t="s">
        <v>43</v>
      </c>
      <c r="E39" s="7" t="s">
        <v>40</v>
      </c>
      <c r="F39" s="7">
        <v>235</v>
      </c>
      <c r="G39" s="69">
        <v>162.44999999999999</v>
      </c>
      <c r="H39" s="9" t="s">
        <v>33</v>
      </c>
      <c r="I39" s="8">
        <v>38175.75</v>
      </c>
      <c r="J39" s="9">
        <v>10</v>
      </c>
      <c r="K39" s="10">
        <v>38185.75</v>
      </c>
      <c r="L39" s="7">
        <v>235</v>
      </c>
      <c r="M39" s="39" t="s">
        <v>44</v>
      </c>
    </row>
    <row r="40" spans="1:15" ht="22.9" thickBot="1">
      <c r="A40" s="43">
        <v>46084</v>
      </c>
      <c r="B40" s="7" t="s">
        <v>29</v>
      </c>
      <c r="C40" s="7" t="s">
        <v>45</v>
      </c>
      <c r="D40" s="7" t="s">
        <v>46</v>
      </c>
      <c r="E40" s="7" t="s">
        <v>40</v>
      </c>
      <c r="F40" s="7">
        <v>570</v>
      </c>
      <c r="G40" s="69">
        <v>132.94999999999999</v>
      </c>
      <c r="H40" s="9" t="s">
        <v>33</v>
      </c>
      <c r="I40" s="8">
        <v>75781.5</v>
      </c>
      <c r="J40" s="9">
        <v>10</v>
      </c>
      <c r="K40" s="10">
        <v>75791.5</v>
      </c>
      <c r="L40" s="7">
        <v>570</v>
      </c>
      <c r="M40" s="39" t="s">
        <v>47</v>
      </c>
    </row>
    <row r="41" spans="1:15" ht="22.9" thickBot="1">
      <c r="A41" s="43">
        <v>46084</v>
      </c>
      <c r="B41" s="7" t="s">
        <v>29</v>
      </c>
      <c r="C41" s="7" t="s">
        <v>48</v>
      </c>
      <c r="D41" s="7" t="s">
        <v>49</v>
      </c>
      <c r="E41" s="7" t="s">
        <v>32</v>
      </c>
      <c r="F41" s="7">
        <v>800</v>
      </c>
      <c r="G41" s="69">
        <v>45.45</v>
      </c>
      <c r="H41" s="9" t="s">
        <v>33</v>
      </c>
      <c r="I41" s="8">
        <v>36360</v>
      </c>
      <c r="J41" s="9">
        <v>10</v>
      </c>
      <c r="K41" s="10">
        <v>36370</v>
      </c>
      <c r="L41" s="7">
        <v>800</v>
      </c>
      <c r="M41" s="39" t="s">
        <v>50</v>
      </c>
    </row>
    <row r="42" spans="1:15" ht="22.9" thickBot="1">
      <c r="A42" s="43">
        <v>46084</v>
      </c>
      <c r="B42" s="7" t="s">
        <v>29</v>
      </c>
      <c r="C42" s="7" t="s">
        <v>51</v>
      </c>
      <c r="D42" s="7" t="s">
        <v>52</v>
      </c>
      <c r="E42" s="7" t="s">
        <v>40</v>
      </c>
      <c r="F42" s="7">
        <v>230</v>
      </c>
      <c r="G42" s="69">
        <v>363.94</v>
      </c>
      <c r="H42" s="9" t="s">
        <v>33</v>
      </c>
      <c r="I42" s="8">
        <v>83706.2</v>
      </c>
      <c r="J42" s="9">
        <v>10</v>
      </c>
      <c r="K42" s="10">
        <v>83716.2</v>
      </c>
      <c r="L42" s="7">
        <v>230</v>
      </c>
      <c r="M42" s="39" t="s">
        <v>53</v>
      </c>
    </row>
    <row r="43" spans="1:15" ht="22.9" thickBot="1">
      <c r="A43" s="43">
        <v>46084</v>
      </c>
      <c r="B43" s="7" t="s">
        <v>54</v>
      </c>
      <c r="C43" s="7" t="s">
        <v>55</v>
      </c>
      <c r="D43" s="7" t="s">
        <v>56</v>
      </c>
      <c r="E43" s="7" t="s">
        <v>40</v>
      </c>
      <c r="F43" s="7">
        <v>95</v>
      </c>
      <c r="G43" s="69">
        <v>381.14</v>
      </c>
      <c r="H43" s="9" t="s">
        <v>33</v>
      </c>
      <c r="I43" s="8">
        <v>-36208.300000000003</v>
      </c>
      <c r="J43" s="9">
        <v>10</v>
      </c>
      <c r="K43" s="10">
        <v>-36198.300000000003</v>
      </c>
      <c r="L43" s="7">
        <v>15</v>
      </c>
      <c r="M43" s="39" t="s">
        <v>57</v>
      </c>
    </row>
    <row r="44" spans="1:15" ht="22.9" thickBot="1">
      <c r="A44" s="43">
        <v>46084</v>
      </c>
      <c r="B44" s="7" t="s">
        <v>29</v>
      </c>
      <c r="C44" s="7" t="s">
        <v>58</v>
      </c>
      <c r="D44" s="7" t="s">
        <v>59</v>
      </c>
      <c r="E44" s="7" t="s">
        <v>40</v>
      </c>
      <c r="F44" s="7">
        <v>388</v>
      </c>
      <c r="G44" s="69">
        <v>131.47999999999999</v>
      </c>
      <c r="H44" s="9" t="s">
        <v>33</v>
      </c>
      <c r="I44" s="8">
        <v>51014.239999999998</v>
      </c>
      <c r="J44" s="9">
        <v>10</v>
      </c>
      <c r="K44" s="10">
        <v>51024.24</v>
      </c>
      <c r="L44" s="7">
        <v>388</v>
      </c>
      <c r="M44" s="39" t="s">
        <v>60</v>
      </c>
      <c r="O44" s="3">
        <f>COUNT(G36:G62)</f>
        <v>27</v>
      </c>
    </row>
    <row r="45" spans="1:15" ht="22.9" thickBot="1">
      <c r="A45" s="43">
        <v>46084</v>
      </c>
      <c r="B45" s="7" t="s">
        <v>29</v>
      </c>
      <c r="C45" s="7" t="s">
        <v>61</v>
      </c>
      <c r="D45" s="7" t="s">
        <v>62</v>
      </c>
      <c r="E45" s="7" t="s">
        <v>40</v>
      </c>
      <c r="F45" s="7">
        <v>150</v>
      </c>
      <c r="G45" s="69">
        <v>306.82</v>
      </c>
      <c r="H45" s="9" t="s">
        <v>33</v>
      </c>
      <c r="I45" s="8">
        <v>46023</v>
      </c>
      <c r="J45" s="9">
        <v>10</v>
      </c>
      <c r="K45" s="10">
        <v>46033</v>
      </c>
      <c r="L45" s="7">
        <v>150</v>
      </c>
      <c r="M45" s="39" t="s">
        <v>63</v>
      </c>
    </row>
    <row r="46" spans="1:15" ht="22.9" thickBot="1">
      <c r="A46" s="43">
        <v>46084</v>
      </c>
      <c r="B46" s="7" t="s">
        <v>29</v>
      </c>
      <c r="C46" s="7" t="s">
        <v>64</v>
      </c>
      <c r="D46" s="7" t="s">
        <v>65</v>
      </c>
      <c r="E46" s="7" t="s">
        <v>40</v>
      </c>
      <c r="F46" s="7">
        <v>250</v>
      </c>
      <c r="G46" s="69">
        <v>200.87</v>
      </c>
      <c r="H46" s="9" t="s">
        <v>33</v>
      </c>
      <c r="I46" s="8">
        <v>50217.5</v>
      </c>
      <c r="J46" s="9">
        <v>10</v>
      </c>
      <c r="K46" s="10">
        <v>50227.5</v>
      </c>
      <c r="L46" s="7">
        <v>250</v>
      </c>
      <c r="M46" s="39" t="s">
        <v>66</v>
      </c>
    </row>
    <row r="47" spans="1:15" ht="22.9" thickBot="1">
      <c r="A47" s="43">
        <v>46084</v>
      </c>
      <c r="B47" s="7" t="s">
        <v>29</v>
      </c>
      <c r="C47" s="7" t="s">
        <v>67</v>
      </c>
      <c r="D47" s="7" t="s">
        <v>68</v>
      </c>
      <c r="E47" s="7" t="s">
        <v>40</v>
      </c>
      <c r="F47" s="7">
        <v>130</v>
      </c>
      <c r="G47" s="69">
        <v>302.22000000000003</v>
      </c>
      <c r="H47" s="9" t="s">
        <v>33</v>
      </c>
      <c r="I47" s="8">
        <v>39288.6</v>
      </c>
      <c r="J47" s="9">
        <v>10</v>
      </c>
      <c r="K47" s="10">
        <v>39298.6</v>
      </c>
      <c r="L47" s="7">
        <v>130</v>
      </c>
      <c r="M47" s="39" t="s">
        <v>69</v>
      </c>
    </row>
    <row r="48" spans="1:15" ht="22.9" thickBot="1">
      <c r="A48" s="43">
        <v>46084</v>
      </c>
      <c r="B48" s="7" t="s">
        <v>29</v>
      </c>
      <c r="C48" s="7" t="s">
        <v>70</v>
      </c>
      <c r="D48" s="7" t="s">
        <v>71</v>
      </c>
      <c r="E48" s="7" t="s">
        <v>40</v>
      </c>
      <c r="F48" s="7">
        <v>140</v>
      </c>
      <c r="G48" s="69">
        <v>329.44</v>
      </c>
      <c r="H48" s="9" t="s">
        <v>33</v>
      </c>
      <c r="I48" s="8">
        <v>46121.599999999999</v>
      </c>
      <c r="J48" s="9">
        <v>10</v>
      </c>
      <c r="K48" s="10">
        <v>46131.6</v>
      </c>
      <c r="L48" s="7">
        <v>140</v>
      </c>
      <c r="M48" s="39" t="s">
        <v>72</v>
      </c>
    </row>
    <row r="49" spans="1:13" ht="22.9" thickBot="1">
      <c r="A49" s="43">
        <v>46084</v>
      </c>
      <c r="B49" s="7" t="s">
        <v>29</v>
      </c>
      <c r="C49" s="7" t="s">
        <v>73</v>
      </c>
      <c r="D49" s="7" t="s">
        <v>74</v>
      </c>
      <c r="E49" s="7" t="s">
        <v>40</v>
      </c>
      <c r="F49" s="7">
        <v>800</v>
      </c>
      <c r="G49" s="69">
        <v>33.6</v>
      </c>
      <c r="H49" s="9" t="s">
        <v>33</v>
      </c>
      <c r="I49" s="8">
        <v>26880</v>
      </c>
      <c r="J49" s="9">
        <v>10</v>
      </c>
      <c r="K49" s="10">
        <v>26890</v>
      </c>
      <c r="L49" s="7">
        <v>800</v>
      </c>
      <c r="M49" s="39" t="s">
        <v>75</v>
      </c>
    </row>
    <row r="50" spans="1:13" ht="22.9" thickBot="1">
      <c r="A50" s="43">
        <v>46084</v>
      </c>
      <c r="B50" s="7" t="s">
        <v>29</v>
      </c>
      <c r="C50" s="7" t="s">
        <v>76</v>
      </c>
      <c r="D50" s="7" t="s">
        <v>77</v>
      </c>
      <c r="E50" s="7" t="s">
        <v>32</v>
      </c>
      <c r="F50" s="7">
        <v>60</v>
      </c>
      <c r="G50" s="69">
        <v>57.95</v>
      </c>
      <c r="H50" s="9" t="s">
        <v>33</v>
      </c>
      <c r="I50" s="8">
        <v>3477</v>
      </c>
      <c r="J50" s="9">
        <v>10</v>
      </c>
      <c r="K50" s="10">
        <v>3487</v>
      </c>
      <c r="L50" s="7">
        <v>60</v>
      </c>
      <c r="M50" s="39" t="s">
        <v>78</v>
      </c>
    </row>
    <row r="51" spans="1:13" ht="22.9" thickBot="1">
      <c r="A51" s="43">
        <v>46084</v>
      </c>
      <c r="B51" s="7" t="s">
        <v>29</v>
      </c>
      <c r="C51" s="7" t="s">
        <v>79</v>
      </c>
      <c r="D51" s="7" t="s">
        <v>80</v>
      </c>
      <c r="E51" s="7" t="s">
        <v>40</v>
      </c>
      <c r="F51" s="7">
        <v>75</v>
      </c>
      <c r="G51" s="69">
        <v>159.75</v>
      </c>
      <c r="H51" s="9" t="s">
        <v>33</v>
      </c>
      <c r="I51" s="8">
        <v>11981.25</v>
      </c>
      <c r="J51" s="9">
        <v>10</v>
      </c>
      <c r="K51" s="10">
        <v>11991.25</v>
      </c>
      <c r="L51" s="7">
        <v>75</v>
      </c>
      <c r="M51" s="39" t="s">
        <v>81</v>
      </c>
    </row>
    <row r="52" spans="1:13" ht="22.9" thickBot="1">
      <c r="A52" s="43">
        <v>46084</v>
      </c>
      <c r="B52" s="7" t="s">
        <v>82</v>
      </c>
      <c r="C52" s="7" t="s">
        <v>70</v>
      </c>
      <c r="D52" s="7" t="s">
        <v>71</v>
      </c>
      <c r="E52" s="7" t="s">
        <v>40</v>
      </c>
      <c r="F52" s="7">
        <v>140</v>
      </c>
      <c r="G52" s="69">
        <v>329.81</v>
      </c>
      <c r="H52" s="9" t="s">
        <v>33</v>
      </c>
      <c r="I52" s="8">
        <v>-46173.4</v>
      </c>
      <c r="J52" s="9">
        <v>10</v>
      </c>
      <c r="K52" s="10">
        <v>-46163.4</v>
      </c>
      <c r="L52" s="7">
        <v>0</v>
      </c>
      <c r="M52" s="39" t="s">
        <v>83</v>
      </c>
    </row>
    <row r="53" spans="1:13" ht="22.9" thickBot="1">
      <c r="A53" s="43">
        <v>46085</v>
      </c>
      <c r="B53" s="7" t="s">
        <v>82</v>
      </c>
      <c r="C53" s="7" t="s">
        <v>84</v>
      </c>
      <c r="D53" s="7" t="s">
        <v>85</v>
      </c>
      <c r="E53" s="7" t="s">
        <v>40</v>
      </c>
      <c r="F53" s="7">
        <v>100</v>
      </c>
      <c r="G53" s="69">
        <v>654.17999999999995</v>
      </c>
      <c r="H53" s="9" t="s">
        <v>33</v>
      </c>
      <c r="I53" s="8">
        <v>-65418</v>
      </c>
      <c r="J53" s="9">
        <v>10</v>
      </c>
      <c r="K53" s="10">
        <v>-65408</v>
      </c>
      <c r="L53" s="7">
        <v>0</v>
      </c>
      <c r="M53" s="39" t="s">
        <v>86</v>
      </c>
    </row>
    <row r="54" spans="1:13" ht="22.9" thickBot="1">
      <c r="A54" s="43">
        <v>46090</v>
      </c>
      <c r="B54" s="7" t="s">
        <v>29</v>
      </c>
      <c r="C54" s="7" t="s">
        <v>67</v>
      </c>
      <c r="D54" s="7" t="s">
        <v>68</v>
      </c>
      <c r="E54" s="7" t="s">
        <v>40</v>
      </c>
      <c r="F54" s="7">
        <v>130</v>
      </c>
      <c r="G54" s="69">
        <v>0.21</v>
      </c>
      <c r="H54" s="9" t="s">
        <v>33</v>
      </c>
      <c r="I54" s="8">
        <v>27.3</v>
      </c>
      <c r="J54" s="9">
        <v>0</v>
      </c>
      <c r="K54" s="10">
        <v>27.3</v>
      </c>
      <c r="L54" s="7">
        <v>130</v>
      </c>
      <c r="M54" s="39" t="s">
        <v>87</v>
      </c>
    </row>
    <row r="55" spans="1:13" ht="22.9" thickBot="1">
      <c r="A55" s="43">
        <v>46093</v>
      </c>
      <c r="B55" s="7" t="s">
        <v>82</v>
      </c>
      <c r="C55" s="7" t="s">
        <v>45</v>
      </c>
      <c r="D55" s="7" t="s">
        <v>46</v>
      </c>
      <c r="E55" s="7" t="s">
        <v>40</v>
      </c>
      <c r="F55" s="7">
        <v>570</v>
      </c>
      <c r="G55" s="69">
        <v>124.61</v>
      </c>
      <c r="H55" s="9" t="s">
        <v>33</v>
      </c>
      <c r="I55" s="8">
        <v>-71027.7</v>
      </c>
      <c r="J55" s="9">
        <v>10</v>
      </c>
      <c r="K55" s="10">
        <v>-71017.7</v>
      </c>
      <c r="L55" s="7">
        <v>0</v>
      </c>
      <c r="M55" s="39" t="s">
        <v>88</v>
      </c>
    </row>
    <row r="56" spans="1:13" ht="22.9" thickBot="1">
      <c r="A56" s="43">
        <v>46093</v>
      </c>
      <c r="B56" s="7" t="s">
        <v>82</v>
      </c>
      <c r="C56" s="7" t="s">
        <v>61</v>
      </c>
      <c r="D56" s="7" t="s">
        <v>62</v>
      </c>
      <c r="E56" s="7" t="s">
        <v>40</v>
      </c>
      <c r="F56" s="7">
        <v>150</v>
      </c>
      <c r="G56" s="69">
        <v>281.04000000000002</v>
      </c>
      <c r="H56" s="9" t="s">
        <v>33</v>
      </c>
      <c r="I56" s="8">
        <v>-42156</v>
      </c>
      <c r="J56" s="9">
        <v>10</v>
      </c>
      <c r="K56" s="10">
        <v>-42146</v>
      </c>
      <c r="L56" s="7">
        <v>0</v>
      </c>
      <c r="M56" s="39" t="s">
        <v>89</v>
      </c>
    </row>
    <row r="57" spans="1:13" ht="22.9" thickBot="1">
      <c r="A57" s="43">
        <v>46093</v>
      </c>
      <c r="B57" s="7" t="s">
        <v>54</v>
      </c>
      <c r="C57" s="7" t="s">
        <v>35</v>
      </c>
      <c r="D57" s="7" t="s">
        <v>36</v>
      </c>
      <c r="E57" s="7" t="s">
        <v>32</v>
      </c>
      <c r="F57" s="7">
        <v>435</v>
      </c>
      <c r="G57" s="69">
        <v>84.58</v>
      </c>
      <c r="H57" s="9" t="s">
        <v>33</v>
      </c>
      <c r="I57" s="8">
        <v>-36792.300000000003</v>
      </c>
      <c r="J57" s="9">
        <v>10</v>
      </c>
      <c r="K57" s="10">
        <v>-36782.300000000003</v>
      </c>
      <c r="L57" s="7">
        <v>440</v>
      </c>
      <c r="M57" s="39" t="s">
        <v>90</v>
      </c>
    </row>
    <row r="58" spans="1:13" ht="22.9" thickBot="1">
      <c r="A58" s="43">
        <v>46094</v>
      </c>
      <c r="B58" s="7" t="s">
        <v>91</v>
      </c>
      <c r="C58" s="7" t="s">
        <v>84</v>
      </c>
      <c r="D58" s="7" t="s">
        <v>85</v>
      </c>
      <c r="E58" s="7" t="s">
        <v>40</v>
      </c>
      <c r="F58" s="7">
        <v>120</v>
      </c>
      <c r="G58" s="69">
        <v>651.62</v>
      </c>
      <c r="H58" s="9" t="s">
        <v>33</v>
      </c>
      <c r="I58" s="8">
        <v>78194.399999999994</v>
      </c>
      <c r="J58" s="9">
        <v>10</v>
      </c>
      <c r="K58" s="10">
        <v>78204.399999999994</v>
      </c>
      <c r="L58" s="7">
        <v>120</v>
      </c>
      <c r="M58" s="39" t="s">
        <v>92</v>
      </c>
    </row>
    <row r="59" spans="1:13" ht="22.9" thickBot="1">
      <c r="A59" s="43">
        <v>46094</v>
      </c>
      <c r="B59" s="7" t="s">
        <v>91</v>
      </c>
      <c r="C59" s="7" t="s">
        <v>93</v>
      </c>
      <c r="D59" s="7" t="s">
        <v>94</v>
      </c>
      <c r="E59" s="7" t="s">
        <v>40</v>
      </c>
      <c r="F59" s="7">
        <v>610</v>
      </c>
      <c r="G59" s="69">
        <v>116.98</v>
      </c>
      <c r="H59" s="9" t="s">
        <v>33</v>
      </c>
      <c r="I59" s="8">
        <v>71357.8</v>
      </c>
      <c r="J59" s="9">
        <v>10</v>
      </c>
      <c r="K59" s="10">
        <v>71367.8</v>
      </c>
      <c r="L59" s="7">
        <v>610</v>
      </c>
      <c r="M59" s="39" t="s">
        <v>95</v>
      </c>
    </row>
    <row r="60" spans="1:13" ht="22.9" thickBot="1">
      <c r="A60" s="43">
        <v>46097</v>
      </c>
      <c r="B60" s="7" t="s">
        <v>91</v>
      </c>
      <c r="C60" s="7" t="s">
        <v>96</v>
      </c>
      <c r="D60" s="7" t="s">
        <v>97</v>
      </c>
      <c r="E60" s="7" t="s">
        <v>32</v>
      </c>
      <c r="F60" s="7">
        <v>100</v>
      </c>
      <c r="G60" s="69">
        <v>231.91</v>
      </c>
      <c r="H60" s="9" t="s">
        <v>33</v>
      </c>
      <c r="I60" s="8">
        <v>23191</v>
      </c>
      <c r="J60" s="9">
        <v>10</v>
      </c>
      <c r="K60" s="10">
        <v>23201</v>
      </c>
      <c r="L60" s="7">
        <v>100</v>
      </c>
      <c r="M60" s="39" t="s">
        <v>98</v>
      </c>
    </row>
    <row r="61" spans="1:13" ht="22.9" thickBot="1">
      <c r="A61" s="43">
        <v>46097</v>
      </c>
      <c r="B61" s="7" t="s">
        <v>91</v>
      </c>
      <c r="C61" s="7" t="s">
        <v>99</v>
      </c>
      <c r="D61" s="7" t="s">
        <v>100</v>
      </c>
      <c r="E61" s="7" t="s">
        <v>40</v>
      </c>
      <c r="F61" s="7">
        <v>135</v>
      </c>
      <c r="G61" s="69">
        <v>124.8</v>
      </c>
      <c r="H61" s="9" t="s">
        <v>33</v>
      </c>
      <c r="I61" s="8">
        <v>16848</v>
      </c>
      <c r="J61" s="9">
        <v>10</v>
      </c>
      <c r="K61" s="10">
        <v>16858</v>
      </c>
      <c r="L61" s="7">
        <v>135</v>
      </c>
      <c r="M61" s="39" t="s">
        <v>101</v>
      </c>
    </row>
    <row r="62" spans="1:13" ht="22.9" thickBot="1">
      <c r="A62" s="43">
        <v>46097</v>
      </c>
      <c r="B62" s="7" t="s">
        <v>91</v>
      </c>
      <c r="C62" s="7" t="s">
        <v>102</v>
      </c>
      <c r="D62" s="7" t="s">
        <v>103</v>
      </c>
      <c r="E62" s="7" t="s">
        <v>40</v>
      </c>
      <c r="F62" s="7">
        <v>274</v>
      </c>
      <c r="G62" s="69">
        <v>184.04</v>
      </c>
      <c r="H62" s="9" t="s">
        <v>33</v>
      </c>
      <c r="I62" s="8">
        <v>50426.96</v>
      </c>
      <c r="J62" s="9">
        <v>10</v>
      </c>
      <c r="K62" s="10">
        <v>50436.959999999999</v>
      </c>
      <c r="L62" s="7">
        <v>274</v>
      </c>
      <c r="M62" s="39" t="s">
        <v>104</v>
      </c>
    </row>
    <row r="63" spans="1:13" ht="22.9" thickBot="1">
      <c r="A63" s="43">
        <v>46097</v>
      </c>
      <c r="B63" s="7" t="s">
        <v>91</v>
      </c>
      <c r="C63" s="7" t="s">
        <v>105</v>
      </c>
      <c r="D63" s="7" t="s">
        <v>106</v>
      </c>
      <c r="E63" s="7" t="s">
        <v>40</v>
      </c>
      <c r="F63" s="7">
        <v>161</v>
      </c>
      <c r="G63" s="69">
        <v>155.76</v>
      </c>
      <c r="H63" s="9" t="s">
        <v>33</v>
      </c>
      <c r="I63" s="8">
        <v>25077.360000000001</v>
      </c>
      <c r="J63" s="9">
        <v>10</v>
      </c>
      <c r="K63" s="10">
        <v>25087.360000000001</v>
      </c>
      <c r="L63" s="7">
        <v>161</v>
      </c>
      <c r="M63" s="39" t="s">
        <v>107</v>
      </c>
    </row>
    <row r="64" spans="1:13" ht="22.9" thickBot="1">
      <c r="A64" s="43">
        <v>46097</v>
      </c>
      <c r="B64" s="7" t="s">
        <v>91</v>
      </c>
      <c r="C64" s="7" t="s">
        <v>108</v>
      </c>
      <c r="D64" s="7" t="s">
        <v>109</v>
      </c>
      <c r="E64" s="7" t="s">
        <v>32</v>
      </c>
      <c r="F64" s="7">
        <v>120</v>
      </c>
      <c r="G64" s="69">
        <v>167.12</v>
      </c>
      <c r="H64" s="9" t="s">
        <v>33</v>
      </c>
      <c r="I64" s="8">
        <v>20054.400000000001</v>
      </c>
      <c r="J64" s="9">
        <v>10</v>
      </c>
      <c r="K64" s="10">
        <v>20064.400000000001</v>
      </c>
      <c r="L64" s="7">
        <v>120</v>
      </c>
      <c r="M64" s="39" t="s">
        <v>110</v>
      </c>
    </row>
    <row r="65" spans="1:13" ht="22.9" thickBot="1">
      <c r="A65" s="43">
        <v>46097</v>
      </c>
      <c r="B65" s="7" t="s">
        <v>91</v>
      </c>
      <c r="C65" s="7" t="s">
        <v>111</v>
      </c>
      <c r="D65" s="7" t="s">
        <v>112</v>
      </c>
      <c r="E65" s="7" t="s">
        <v>40</v>
      </c>
      <c r="F65" s="7">
        <v>150</v>
      </c>
      <c r="G65" s="69">
        <v>126.69499999999999</v>
      </c>
      <c r="H65" s="9" t="s">
        <v>33</v>
      </c>
      <c r="I65" s="8">
        <v>19004.25</v>
      </c>
      <c r="J65" s="9">
        <v>10</v>
      </c>
      <c r="K65" s="10">
        <v>19014.25</v>
      </c>
      <c r="L65" s="7">
        <v>150</v>
      </c>
      <c r="M65" s="39" t="s">
        <v>113</v>
      </c>
    </row>
    <row r="66" spans="1:13">
      <c r="A66" s="44"/>
      <c r="B66" s="4"/>
      <c r="C66" s="4"/>
      <c r="E66" s="4"/>
      <c r="F66" s="4"/>
      <c r="I66" s="3" t="str">
        <f ca="1">_xlfn.FORMULATEXT(I18)</f>
        <v>=[@[Quantity (positive number)]]*[@[Price per Unit]]</v>
      </c>
      <c r="K66" s="12"/>
      <c r="L66" s="4"/>
    </row>
    <row r="68" spans="1:13">
      <c r="K68" s="12">
        <f>SUM(K36:K65)</f>
        <v>859701.36</v>
      </c>
    </row>
    <row r="69" spans="1:13">
      <c r="D69" s="3"/>
    </row>
    <row r="70" spans="1:13">
      <c r="D70" s="3"/>
    </row>
    <row r="71" spans="1:13">
      <c r="D71" s="3"/>
      <c r="K71"/>
      <c r="L71"/>
      <c r="M71"/>
    </row>
    <row r="72" spans="1:13">
      <c r="D72" s="3"/>
      <c r="K72"/>
      <c r="L72"/>
      <c r="M72"/>
    </row>
    <row r="73" spans="1:13">
      <c r="D73" s="3"/>
      <c r="K73"/>
      <c r="L73"/>
      <c r="M73"/>
    </row>
    <row r="74" spans="1:13">
      <c r="D74" s="3"/>
      <c r="K74"/>
      <c r="L74"/>
      <c r="M74"/>
    </row>
    <row r="75" spans="1:13">
      <c r="D75" s="3"/>
      <c r="K75"/>
      <c r="L75"/>
      <c r="M75"/>
    </row>
    <row r="76" spans="1:13">
      <c r="D76" s="3"/>
      <c r="K76"/>
      <c r="L76"/>
      <c r="M76"/>
    </row>
    <row r="77" spans="1:13">
      <c r="D77" s="3"/>
      <c r="K77"/>
      <c r="L77"/>
      <c r="M77"/>
    </row>
    <row r="78" spans="1:13">
      <c r="D78" s="3"/>
      <c r="K78"/>
      <c r="L78"/>
      <c r="M78"/>
    </row>
    <row r="79" spans="1:13">
      <c r="D79" s="3"/>
      <c r="K79"/>
      <c r="L79"/>
      <c r="M79"/>
    </row>
    <row r="80" spans="1:13">
      <c r="D80" s="3"/>
      <c r="K80"/>
      <c r="L80"/>
      <c r="M80"/>
    </row>
    <row r="81" spans="4:13">
      <c r="D81" s="3"/>
      <c r="K81"/>
      <c r="L81"/>
      <c r="M81"/>
    </row>
    <row r="82" spans="4:13">
      <c r="D82" s="3"/>
      <c r="K82"/>
      <c r="L82"/>
      <c r="M82"/>
    </row>
    <row r="83" spans="4:13">
      <c r="D83" s="3"/>
      <c r="K83"/>
      <c r="L83"/>
      <c r="M83"/>
    </row>
    <row r="84" spans="4:13">
      <c r="D84" s="3"/>
      <c r="K84"/>
      <c r="L84"/>
      <c r="M84"/>
    </row>
    <row r="85" spans="4:13">
      <c r="D85" s="3"/>
      <c r="K85"/>
      <c r="L85"/>
      <c r="M85"/>
    </row>
    <row r="86" spans="4:13">
      <c r="D86" s="3"/>
      <c r="K86"/>
      <c r="L86"/>
      <c r="M86"/>
    </row>
    <row r="87" spans="4:13">
      <c r="D87" s="3"/>
      <c r="K87"/>
      <c r="L87"/>
      <c r="M87"/>
    </row>
    <row r="88" spans="4:13">
      <c r="K88"/>
      <c r="L88"/>
      <c r="M88"/>
    </row>
    <row r="89" spans="4:13">
      <c r="K89"/>
      <c r="L89"/>
      <c r="M89"/>
    </row>
    <row r="90" spans="4:13">
      <c r="K90"/>
      <c r="L90"/>
      <c r="M90"/>
    </row>
    <row r="91" spans="4:13">
      <c r="K91"/>
      <c r="L91"/>
      <c r="M91"/>
    </row>
    <row r="92" spans="4:13">
      <c r="K92"/>
      <c r="L92"/>
      <c r="M92"/>
    </row>
  </sheetData>
  <pageMargins left="0.7" right="0.7" top="0.75" bottom="0.75" header="0.3" footer="0.3"/>
  <pageSetup orientation="portrait" r:id="rId1"/>
  <ignoredErrors>
    <ignoredError sqref="G18 G22 G19:G21 G23:G34 G2:G16" calculatedColumn="1"/>
  </ignoredErrors>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VALIDATION_LISTS!$A$1:$A$4</xm:f>
          </x14:formula1>
          <xm:sqref>B67:B68 B88:B1053 B18:B36</xm:sqref>
        </x14:dataValidation>
        <x14:dataValidation type="list" allowBlank="1" showInputMessage="1" showErrorMessage="1" xr:uid="{00000000-0002-0000-0000-000001000000}">
          <x14:formula1>
            <xm:f>VALIDATION_LISTS!$B$1:$B$10</xm:f>
          </x14:formula1>
          <xm:sqref>E88:E1052 E67:E68 E18:E36</xm:sqref>
        </x14:dataValidation>
        <x14:dataValidation type="list" allowBlank="1" showInputMessage="1" showErrorMessage="1" xr:uid="{00000000-0002-0000-0000-000002000000}">
          <x14:formula1>
            <xm:f>VALIDATION_LISTS!$C$1:$C$8</xm:f>
          </x14:formula1>
          <xm:sqref>H67:H68 H88:H1055 H18:H36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DE6D5-2349-48CD-930B-FCC41DCF6C2C}">
  <dimension ref="A1:U25"/>
  <sheetViews>
    <sheetView topLeftCell="J1" zoomScale="45" zoomScaleNormal="65" workbookViewId="0">
      <selection activeCell="AK14" sqref="AK14"/>
    </sheetView>
  </sheetViews>
  <sheetFormatPr defaultColWidth="13.28515625" defaultRowHeight="14.45"/>
  <cols>
    <col min="1" max="1" width="13.28515625" customWidth="1"/>
    <col min="3" max="3" width="59.28515625" bestFit="1" customWidth="1"/>
    <col min="4" max="4" width="20.5703125" customWidth="1"/>
    <col min="5" max="5" width="16" customWidth="1"/>
    <col min="6" max="6" width="18.7109375" bestFit="1" customWidth="1"/>
    <col min="7" max="16" width="13.42578125" bestFit="1" customWidth="1"/>
    <col min="17" max="17" width="19.42578125" customWidth="1"/>
    <col min="18" max="18" width="23.7109375" customWidth="1"/>
  </cols>
  <sheetData>
    <row r="1" spans="1:21" ht="111.6">
      <c r="A1" s="24"/>
      <c r="B1" s="6"/>
      <c r="C1" s="29" t="s">
        <v>202</v>
      </c>
      <c r="D1" s="29" t="s">
        <v>203</v>
      </c>
      <c r="E1" s="29" t="s">
        <v>204</v>
      </c>
      <c r="F1" s="29" t="s">
        <v>205</v>
      </c>
      <c r="G1" s="29" t="s">
        <v>206</v>
      </c>
      <c r="H1" s="29" t="s">
        <v>91</v>
      </c>
      <c r="I1" s="29" t="s">
        <v>207</v>
      </c>
      <c r="J1" s="29" t="s">
        <v>208</v>
      </c>
      <c r="K1" s="29" t="s">
        <v>209</v>
      </c>
      <c r="L1" s="29" t="s">
        <v>210</v>
      </c>
      <c r="M1" s="29" t="s">
        <v>211</v>
      </c>
      <c r="N1" s="29" t="s">
        <v>212</v>
      </c>
      <c r="O1" s="29" t="s">
        <v>213</v>
      </c>
      <c r="P1" s="29" t="s">
        <v>214</v>
      </c>
      <c r="Q1" s="29" t="s">
        <v>215</v>
      </c>
      <c r="R1" s="29" t="s">
        <v>216</v>
      </c>
    </row>
    <row r="2" spans="1:21" ht="15">
      <c r="A2" s="11"/>
      <c r="B2" s="97" t="s">
        <v>161</v>
      </c>
      <c r="C2" s="97" t="e" vm="2">
        <v>#VALUE!</v>
      </c>
      <c r="D2" s="3" t="str" cm="1">
        <f t="array" aca="1" ref="D2" ca="1">_FV(C2,"Exchange abbreviation",TRUE)</f>
        <v>ARCX</v>
      </c>
      <c r="E2" s="3" t="str" cm="1">
        <f t="array" aca="1" ref="E2" ca="1">_FV(C2,"Instrument type",TRUE)</f>
        <v>ETF</v>
      </c>
      <c r="F2" s="25" cm="1">
        <f t="array" aca="1" ref="F2" ca="1">_FV(C2,"Last trade time",TRUE)</f>
        <v>46111.880055810158</v>
      </c>
      <c r="G2" s="28" cm="1">
        <f t="array" aca="1" ref="G2" ca="1">_FV(C2,"Volume")</f>
        <v>10764765</v>
      </c>
      <c r="H2" s="23" cm="1">
        <f t="array" aca="1" ref="H2" ca="1">_FV(C2,"Open")</f>
        <v>32.76</v>
      </c>
      <c r="I2" s="26" cm="1">
        <f t="array" aca="1" ref="I2" ca="1">_FV(C2,"Beta")</f>
        <v>-0.95860000000000001</v>
      </c>
      <c r="J2" s="23" cm="1">
        <f t="array" aca="1" ref="J2" ca="1">_FV(C2,"Price")</f>
        <v>33.299999999999997</v>
      </c>
      <c r="K2" s="23" cm="1">
        <f t="array" aca="1" ref="K2" ca="1">_FV(C2,"Change")</f>
        <v>0.26</v>
      </c>
      <c r="L2" s="27" cm="1">
        <f t="array" aca="1" ref="L2" ca="1">_FV(C2,"Change (%)",TRUE)</f>
        <v>7.869000000000001E-3</v>
      </c>
      <c r="M2" s="23" cm="1">
        <f t="array" aca="1" ref="M2" ca="1">_FV(C2,"High")</f>
        <v>33.469900000000003</v>
      </c>
      <c r="N2" s="23" cm="1">
        <f t="array" aca="1" ref="N2" ca="1">_FV(C2,"Low")</f>
        <v>32.734999999999999</v>
      </c>
      <c r="O2" s="23" cm="1">
        <f t="array" aca="1" ref="O2" ca="1">_FV(C2,"52 week high",TRUE)</f>
        <v>46.98</v>
      </c>
      <c r="P2" s="23" cm="1">
        <f t="array" aca="1" ref="P2" ca="1">_FV(C2,"52 week low",TRUE)</f>
        <v>29.24</v>
      </c>
      <c r="Q2" s="23" cm="1">
        <f t="array" aca="1" ref="Q2" ca="1">_FV(C2,"Previous close",TRUE)</f>
        <v>33.04</v>
      </c>
      <c r="R2" s="38" cm="1">
        <f t="array" aca="1" ref="R2" ca="1">_FV(C2,"Market cap",TRUE)</f>
        <v>639886531.45000005</v>
      </c>
    </row>
    <row r="3" spans="1:21" ht="15">
      <c r="A3" s="11"/>
      <c r="B3" s="97" t="s">
        <v>76</v>
      </c>
      <c r="C3" s="97" t="e" vm="3">
        <v>#VALUE!</v>
      </c>
      <c r="D3" s="3" t="str" cm="1">
        <f t="array" aca="1" ref="D3" ca="1">_FV(C3,"Exchange abbreviation",TRUE)</f>
        <v>ARCX</v>
      </c>
      <c r="E3" s="3" t="str" cm="1">
        <f t="array" aca="1" ref="E3" ca="1">_FV(C3,"Instrument type",TRUE)</f>
        <v>ETF</v>
      </c>
      <c r="F3" s="25" cm="1">
        <f t="array" aca="1" ref="F3" ca="1">_FV(C3,"Last trade time",TRUE)</f>
        <v>46111.882083541408</v>
      </c>
      <c r="G3" s="28" cm="1">
        <f t="array" aca="1" ref="G3" ca="1">_FV(C3,"Volume")</f>
        <v>49629980</v>
      </c>
      <c r="H3" s="23" cm="1">
        <f t="array" aca="1" ref="H3" ca="1">_FV(C3,"Open")</f>
        <v>63.13</v>
      </c>
      <c r="I3" s="26" cm="1">
        <f t="array" aca="1" ref="I3" ca="1">_FV(C3,"Beta")</f>
        <v>1.1236999999999999</v>
      </c>
      <c r="J3" s="23" cm="1">
        <f t="array" aca="1" ref="J3" ca="1">_FV(C3,"Price")</f>
        <v>61.95</v>
      </c>
      <c r="K3" s="23" cm="1">
        <f t="array" aca="1" ref="K3" ca="1">_FV(C3,"Change")</f>
        <v>-0.61</v>
      </c>
      <c r="L3" s="27" cm="1">
        <f t="array" aca="1" ref="L3" ca="1">_FV(C3,"Change (%)",TRUE)</f>
        <v>-9.7509999999999993E-3</v>
      </c>
      <c r="M3" s="23" cm="1">
        <f t="array" aca="1" ref="M3" ca="1">_FV(C3,"High")</f>
        <v>63.46</v>
      </c>
      <c r="N3" s="23" cm="1">
        <f t="array" aca="1" ref="N3" ca="1">_FV(C3,"Low")</f>
        <v>61.78</v>
      </c>
      <c r="O3" s="23" cm="1">
        <f t="array" aca="1" ref="O3" ca="1">_FV(C3,"52 week high",TRUE)</f>
        <v>63.46</v>
      </c>
      <c r="P3" s="23" cm="1">
        <f t="array" aca="1" ref="P3" ca="1">_FV(C3,"52 week low",TRUE)</f>
        <v>37.244999999999997</v>
      </c>
      <c r="Q3" s="23" cm="1">
        <f t="array" aca="1" ref="Q3" ca="1">_FV(C3,"Previous close",TRUE)</f>
        <v>62.56</v>
      </c>
      <c r="R3" s="38" cm="1">
        <f t="array" aca="1" ref="R3" ca="1">_FV(C3,"Market cap",TRUE)</f>
        <v>37876244903.099998</v>
      </c>
    </row>
    <row r="4" spans="1:21" ht="15">
      <c r="A4" s="11"/>
      <c r="B4" s="97" t="s">
        <v>48</v>
      </c>
      <c r="C4" s="97" t="e" vm="4">
        <v>#VALUE!</v>
      </c>
      <c r="D4" s="3" t="str" cm="1">
        <f t="array" aca="1" ref="D4" ca="1">_FV(C4,"Exchange abbreviation",TRUE)</f>
        <v>ARCX</v>
      </c>
      <c r="E4" s="3" t="str" cm="1">
        <f t="array" aca="1" ref="E4" ca="1">_FV(C4,"Instrument type",TRUE)</f>
        <v>ETF</v>
      </c>
      <c r="F4" s="25" cm="1">
        <f t="array" aca="1" ref="F4" ca="1">_FV(C4,"Last trade time",TRUE)</f>
        <v>46111.881832928128</v>
      </c>
      <c r="G4" s="28" cm="1">
        <f t="array" aca="1" ref="G4" ca="1">_FV(C4,"Volume")</f>
        <v>28257443</v>
      </c>
      <c r="H4" s="23" cm="1">
        <f t="array" aca="1" ref="H4" ca="1">_FV(C4,"Open")</f>
        <v>46.17</v>
      </c>
      <c r="I4" s="26" cm="1">
        <f t="array" aca="1" ref="I4" ca="1">_FV(C4,"Beta")</f>
        <v>0.99750000000000005</v>
      </c>
      <c r="J4" s="23" cm="1">
        <f t="array" aca="1" ref="J4" ca="1">_FV(C4,"Price")</f>
        <v>45.93</v>
      </c>
      <c r="K4" s="23" cm="1">
        <f t="array" aca="1" ref="K4" ca="1">_FV(C4,"Change")</f>
        <v>0.34</v>
      </c>
      <c r="L4" s="27" cm="1">
        <f t="array" aca="1" ref="L4" ca="1">_FV(C4,"Change (%)",TRUE)</f>
        <v>7.4580000000000002E-3</v>
      </c>
      <c r="M4" s="23" cm="1">
        <f t="array" aca="1" ref="M4" ca="1">_FV(C4,"High")</f>
        <v>46.335000000000001</v>
      </c>
      <c r="N4" s="23" cm="1">
        <f t="array" aca="1" ref="N4" ca="1">_FV(C4,"Low")</f>
        <v>45.755000000000003</v>
      </c>
      <c r="O4" s="23" cm="1">
        <f t="array" aca="1" ref="O4" ca="1">_FV(C4,"52 week high",TRUE)</f>
        <v>47.8</v>
      </c>
      <c r="P4" s="23" cm="1">
        <f t="array" aca="1" ref="P4" ca="1">_FV(C4,"52 week low",TRUE)</f>
        <v>35.51</v>
      </c>
      <c r="Q4" s="23" cm="1">
        <f t="array" aca="1" ref="Q4" ca="1">_FV(C4,"Previous close",TRUE)</f>
        <v>45.59</v>
      </c>
      <c r="R4" s="38" cm="1">
        <f t="array" aca="1" ref="R4" ca="1">_FV(C4,"Market cap",TRUE)</f>
        <v>24356755083.259998</v>
      </c>
    </row>
    <row r="5" spans="1:21" ht="15">
      <c r="A5" s="11"/>
      <c r="B5" s="97" t="s">
        <v>158</v>
      </c>
      <c r="C5" s="97" t="e" vm="5">
        <v>#VALUE!</v>
      </c>
      <c r="D5" s="3" t="str" cm="1">
        <f t="array" aca="1" ref="D5" ca="1">_FV(C5,"Exchange abbreviation",TRUE)</f>
        <v>ARCX</v>
      </c>
      <c r="E5" s="3" t="str" cm="1">
        <f t="array" aca="1" ref="E5" ca="1">_FV(C5,"Instrument type",TRUE)</f>
        <v>ETF</v>
      </c>
      <c r="F5" s="25" cm="1">
        <f t="array" aca="1" ref="F5" ca="1">_FV(C5,"Last trade time",TRUE)</f>
        <v>46111.881099733597</v>
      </c>
      <c r="G5" s="28" cm="1">
        <f t="array" aca="1" ref="G5" ca="1">_FV(C5,"Volume")</f>
        <v>13299114</v>
      </c>
      <c r="H5" s="23" cm="1">
        <f t="array" aca="1" ref="H5" ca="1">_FV(C5,"Open")</f>
        <v>38.545000000000002</v>
      </c>
      <c r="I5" s="26" cm="1">
        <f t="array" aca="1" ref="I5" ca="1">_FV(C5,"Beta")</f>
        <v>-0.97829999999999995</v>
      </c>
      <c r="J5" s="23" cm="1">
        <f t="array" aca="1" ref="J5" ca="1">_FV(C5,"Price")</f>
        <v>39.03</v>
      </c>
      <c r="K5" s="23" cm="1">
        <f t="array" aca="1" ref="K5" ca="1">_FV(C5,"Change")</f>
        <v>0.14000000000000001</v>
      </c>
      <c r="L5" s="27" cm="1">
        <f t="array" aca="1" ref="L5" ca="1">_FV(C5,"Change (%)",TRUE)</f>
        <v>3.5999999999999999E-3</v>
      </c>
      <c r="M5" s="23" cm="1">
        <f t="array" aca="1" ref="M5" ca="1">_FV(C5,"High")</f>
        <v>39.200000000000003</v>
      </c>
      <c r="N5" s="23" cm="1">
        <f t="array" aca="1" ref="N5" ca="1">_FV(C5,"Low")</f>
        <v>38.520000000000003</v>
      </c>
      <c r="O5" s="23" cm="1">
        <f t="array" aca="1" ref="O5" ca="1">_FV(C5,"52 week high",TRUE)</f>
        <v>51.370600000000003</v>
      </c>
      <c r="P5" s="23" cm="1">
        <f t="array" aca="1" ref="P5" ca="1">_FV(C5,"52 week low",TRUE)</f>
        <v>35.340000000000003</v>
      </c>
      <c r="Q5" s="23" cm="1">
        <f t="array" aca="1" ref="Q5" ca="1">_FV(C5,"Previous close",TRUE)</f>
        <v>38.89</v>
      </c>
      <c r="R5" s="38" cm="1">
        <f t="array" aca="1" ref="R5" ca="1">_FV(C5,"Market cap",TRUE)</f>
        <v>1043574417.37</v>
      </c>
    </row>
    <row r="6" spans="1:21" ht="15">
      <c r="A6" s="11"/>
      <c r="B6" s="97" t="s">
        <v>35</v>
      </c>
      <c r="C6" s="97" t="e" vm="6">
        <v>#VALUE!</v>
      </c>
      <c r="D6" s="3" t="str" cm="1">
        <f t="array" aca="1" ref="D6" ca="1">_FV(C6,"Exchange abbreviation",TRUE)</f>
        <v>ARCX</v>
      </c>
      <c r="E6" s="3" t="str" cm="1">
        <f t="array" aca="1" ref="E6" ca="1">_FV(C6,"Instrument type",TRUE)</f>
        <v>ETF</v>
      </c>
      <c r="F6" s="25" cm="1">
        <f t="array" aca="1" ref="F6" ca="1">_FV(C6,"Last trade time",TRUE)</f>
        <v>46111.881877221873</v>
      </c>
      <c r="G6" s="28" cm="1">
        <f t="array" aca="1" ref="G6" ca="1">_FV(C6,"Volume")</f>
        <v>15853421</v>
      </c>
      <c r="H6" s="23" cm="1">
        <f t="array" aca="1" ref="H6" ca="1">_FV(C6,"Open")</f>
        <v>81.905000000000001</v>
      </c>
      <c r="I6" s="26" cm="1">
        <f t="array" aca="1" ref="I6" ca="1">_FV(C6,"Beta")</f>
        <v>0.97219999999999995</v>
      </c>
      <c r="J6" s="23" cm="1">
        <f t="array" aca="1" ref="J6" ca="1">_FV(C6,"Price")</f>
        <v>81.884399999999999</v>
      </c>
      <c r="K6" s="23" cm="1">
        <f t="array" aca="1" ref="K6" ca="1">_FV(C6,"Change")</f>
        <v>0.10440000000000001</v>
      </c>
      <c r="L6" s="27" cm="1">
        <f t="array" aca="1" ref="L6" ca="1">_FV(C6,"Change (%)",TRUE)</f>
        <v>1.2770000000000001E-3</v>
      </c>
      <c r="M6" s="23" cm="1">
        <f t="array" aca="1" ref="M6" ca="1">_FV(C6,"High")</f>
        <v>82.605000000000004</v>
      </c>
      <c r="N6" s="23" cm="1">
        <f t="array" aca="1" ref="N6" ca="1">_FV(C6,"Low")</f>
        <v>81.63</v>
      </c>
      <c r="O6" s="23" cm="1">
        <f t="array" aca="1" ref="O6" ca="1">_FV(C6,"52 week high",TRUE)</f>
        <v>90.14</v>
      </c>
      <c r="P6" s="23" cm="1">
        <f t="array" aca="1" ref="P6" ca="1">_FV(C6,"52 week low",TRUE)</f>
        <v>75.16</v>
      </c>
      <c r="Q6" s="23" cm="1">
        <f t="array" aca="1" ref="Q6" ca="1">_FV(C6,"Previous close",TRUE)</f>
        <v>81.78</v>
      </c>
      <c r="R6" s="38" cm="1">
        <f t="array" aca="1" ref="R6" ca="1">_FV(C6,"Market cap",TRUE)</f>
        <v>17557141595.32</v>
      </c>
    </row>
    <row r="7" spans="1:21" ht="15">
      <c r="A7" s="11"/>
      <c r="B7" s="97" t="s">
        <v>108</v>
      </c>
      <c r="C7" s="97" t="e" vm="7">
        <v>#VALUE!</v>
      </c>
      <c r="D7" s="3" t="str" cm="1">
        <f t="array" aca="1" ref="D7" ca="1">_FV(C7,"Exchange abbreviation",TRUE)</f>
        <v>XNAS</v>
      </c>
      <c r="E7" s="3" t="str" cm="1">
        <f t="array" aca="1" ref="E7" ca="1">_FV(C7,"Instrument type",TRUE)</f>
        <v>ETF</v>
      </c>
      <c r="F7" s="25" cm="1">
        <f t="array" aca="1" ref="F7" ca="1">_FV(C7,"Last trade time",TRUE)</f>
        <v>46111.874621515628</v>
      </c>
      <c r="G7" s="28" cm="1">
        <f t="array" aca="1" ref="G7" ca="1">_FV(C7,"Volume")</f>
        <v>1495238</v>
      </c>
      <c r="H7" s="23" cm="1">
        <f t="array" aca="1" ref="H7" ca="1">_FV(C7,"Open")</f>
        <v>161.79</v>
      </c>
      <c r="I7" s="26" cm="1">
        <f t="array" aca="1" ref="I7" ca="1">_FV(C7,"Beta")</f>
        <v>0.98740000000000006</v>
      </c>
      <c r="J7" s="23" cm="1">
        <f t="array" aca="1" ref="J7" ca="1">_FV(C7,"Price")</f>
        <v>161.86000000000001</v>
      </c>
      <c r="K7" s="23" cm="1">
        <f t="array" aca="1" ref="K7" ca="1">_FV(C7,"Change")</f>
        <v>1.45</v>
      </c>
      <c r="L7" s="27" cm="1">
        <f t="array" aca="1" ref="L7" ca="1">_FV(C7,"Change (%)",TRUE)</f>
        <v>9.0390000000000002E-3</v>
      </c>
      <c r="M7" s="23" cm="1">
        <f t="array" aca="1" ref="M7" ca="1">_FV(C7,"High")</f>
        <v>162.94999999999999</v>
      </c>
      <c r="N7" s="23" cm="1">
        <f t="array" aca="1" ref="N7" ca="1">_FV(C7,"Low")</f>
        <v>160.56</v>
      </c>
      <c r="O7" s="23" cm="1">
        <f t="array" aca="1" ref="O7" ca="1">_FV(C7,"52 week high",TRUE)</f>
        <v>179.64</v>
      </c>
      <c r="P7" s="23" cm="1">
        <f t="array" aca="1" ref="P7" ca="1">_FV(C7,"52 week low",TRUE)</f>
        <v>107.43</v>
      </c>
      <c r="Q7" s="23" cm="1">
        <f t="array" aca="1" ref="Q7" ca="1">_FV(C7,"Previous close",TRUE)</f>
        <v>160.41</v>
      </c>
      <c r="R7" s="38" cm="1">
        <f t="array" aca="1" ref="R7" ca="1">_FV(C7,"Market cap",TRUE)</f>
        <v>8784036686.0200005</v>
      </c>
    </row>
    <row r="8" spans="1:21" ht="15">
      <c r="A8" s="11"/>
      <c r="B8" s="97" t="s">
        <v>155</v>
      </c>
      <c r="C8" s="97" t="e" vm="8">
        <v>#VALUE!</v>
      </c>
      <c r="D8" s="3" t="str" cm="1">
        <f t="array" aca="1" ref="D8" ca="1">_FV(C8,"Exchange abbreviation",TRUE)</f>
        <v>ARCX</v>
      </c>
      <c r="E8" s="3" t="str" cm="1">
        <f t="array" aca="1" ref="E8" ca="1">_FV(C8,"Instrument type",TRUE)</f>
        <v>ETF</v>
      </c>
      <c r="F8" s="25" cm="1">
        <f t="array" aca="1" ref="F8" ca="1">_FV(C8,"Last trade time",TRUE)</f>
        <v>46111.882100265626</v>
      </c>
      <c r="G8" s="28" cm="1">
        <f t="array" aca="1" ref="G8" ca="1">_FV(C8,"Volume")</f>
        <v>13116517</v>
      </c>
      <c r="H8" s="23" cm="1">
        <f t="array" aca="1" ref="H8" ca="1">_FV(C8,"Open")</f>
        <v>419.54</v>
      </c>
      <c r="I8" s="26" cm="1">
        <f t="array" aca="1" ref="I8" ca="1">_FV(C8,"Beta")</f>
        <v>0.80079999999999996</v>
      </c>
      <c r="J8" s="23" cm="1">
        <f t="array" aca="1" ref="J8" ca="1">_FV(C8,"Price")</f>
        <v>414.62</v>
      </c>
      <c r="K8" s="23" cm="1">
        <f t="array" aca="1" ref="K8" ca="1">_FV(C8,"Change")</f>
        <v>-0.08</v>
      </c>
      <c r="L8" s="27" cm="1">
        <f t="array" aca="1" ref="L8" ca="1">_FV(C8,"Change (%)",TRUE)</f>
        <v>-1.9290000000000003E-4</v>
      </c>
      <c r="M8" s="23" cm="1">
        <f t="array" aca="1" ref="M8" ca="1">_FV(C8,"High")</f>
        <v>420.1</v>
      </c>
      <c r="N8" s="23" cm="1">
        <f t="array" aca="1" ref="N8" ca="1">_FV(C8,"Low")</f>
        <v>412.66</v>
      </c>
      <c r="O8" s="23" cm="1">
        <f t="array" aca="1" ref="O8" ca="1">_FV(C8,"52 week high",TRUE)</f>
        <v>509.7</v>
      </c>
      <c r="P8" s="23" cm="1">
        <f t="array" aca="1" ref="P8" ca="1">_FV(C8,"52 week low",TRUE)</f>
        <v>272.58</v>
      </c>
      <c r="Q8" s="23" cm="1">
        <f t="array" aca="1" ref="Q8" ca="1">_FV(C8,"Previous close",TRUE)</f>
        <v>414.7</v>
      </c>
      <c r="R8" s="38" cm="1">
        <f t="array" aca="1" ref="R8" ca="1">_FV(C8,"Market cap",TRUE)</f>
        <v>184862291692.19</v>
      </c>
      <c r="U8" s="98"/>
    </row>
    <row r="9" spans="1:21" ht="15">
      <c r="A9" s="11"/>
      <c r="B9" s="97" t="s">
        <v>84</v>
      </c>
      <c r="C9" s="97" t="e" vm="9">
        <v>#VALUE!</v>
      </c>
      <c r="D9" s="3" t="str" cm="1">
        <f t="array" aca="1" ref="D9" ca="1">_FV(C9,"Exchange abbreviation",TRUE)</f>
        <v>XNYS</v>
      </c>
      <c r="E9" s="3" t="str" cm="1">
        <f t="array" aca="1" ref="E9" ca="1">_FV(C9,"Instrument type",TRUE)</f>
        <v>Stock</v>
      </c>
      <c r="F9" s="25" cm="1">
        <f t="array" aca="1" ref="F9" ca="1">_FV(C9,"Last trade time",TRUE)</f>
        <v>46111.879632372656</v>
      </c>
      <c r="G9" s="28" cm="1">
        <f t="array" aca="1" ref="G9" ca="1">_FV(C9,"Volume")</f>
        <v>1847963</v>
      </c>
      <c r="H9" s="23" cm="1">
        <f t="array" aca="1" ref="H9" ca="1">_FV(C9,"Open")</f>
        <v>621.03</v>
      </c>
      <c r="I9" s="26" cm="1">
        <f t="array" aca="1" ref="I9" ca="1">_FV(C9,"Beta")</f>
        <v>0.2394</v>
      </c>
      <c r="J9" s="23" cm="1">
        <f t="array" aca="1" ref="J9" ca="1">_FV(C9,"Price")</f>
        <v>598.55999999999995</v>
      </c>
      <c r="K9" s="23" cm="1">
        <f t="array" aca="1" ref="K9" ca="1">_FV(C9,"Change")</f>
        <v>-17.28</v>
      </c>
      <c r="L9" s="27" cm="1">
        <f t="array" aca="1" ref="L9" ca="1">_FV(C9,"Change (%)",TRUE)</f>
        <v>-2.8058999999999997E-2</v>
      </c>
      <c r="M9" s="23" cm="1">
        <f t="array" aca="1" ref="M9" ca="1">_FV(C9,"High")</f>
        <v>623.32000000000005</v>
      </c>
      <c r="N9" s="23" cm="1">
        <f t="array" aca="1" ref="N9" ca="1">_FV(C9,"Low")</f>
        <v>593.88</v>
      </c>
      <c r="O9" s="23" cm="1">
        <f t="array" aca="1" ref="O9" ca="1">_FV(C9,"52 week high",TRUE)</f>
        <v>692</v>
      </c>
      <c r="P9" s="23" cm="1">
        <f t="array" aca="1" ref="P9" ca="1">_FV(C9,"52 week low",TRUE)</f>
        <v>410.11</v>
      </c>
      <c r="Q9" s="23" cm="1">
        <f t="array" aca="1" ref="Q9" ca="1">_FV(C9,"Previous close",TRUE)</f>
        <v>615.84</v>
      </c>
      <c r="R9" s="38" cm="1">
        <f t="array" aca="1" ref="R9" ca="1">_FV(C9,"Market cap",TRUE)</f>
        <v>137945394576</v>
      </c>
    </row>
    <row r="10" spans="1:21" ht="15">
      <c r="A10" s="11"/>
      <c r="B10" s="97" t="s">
        <v>55</v>
      </c>
      <c r="C10" s="97" t="e" vm="10">
        <v>#VALUE!</v>
      </c>
      <c r="D10" s="3" t="str" cm="1">
        <f t="array" aca="1" ref="D10" ca="1">_FV(C10,"Exchange abbreviation",TRUE)</f>
        <v>XNAS</v>
      </c>
      <c r="E10" s="3" t="str" cm="1">
        <f t="array" aca="1" ref="E10" ca="1">_FV(C10,"Instrument type",TRUE)</f>
        <v>Stock</v>
      </c>
      <c r="F10" s="25" cm="1">
        <f t="array" aca="1" ref="F10" ca="1">_FV(C10,"Last trade time",TRUE)</f>
        <v>46111.882165346877</v>
      </c>
      <c r="G10" s="28" cm="1">
        <f t="array" aca="1" ref="G10" ca="1">_FV(C10,"Volume")</f>
        <v>72834342</v>
      </c>
      <c r="H10" s="23" cm="1">
        <f t="array" aca="1" ref="H10" ca="1">_FV(C10,"Open")</f>
        <v>362.66</v>
      </c>
      <c r="I10" s="26" cm="1">
        <f t="array" aca="1" ref="I10" ca="1">_FV(C10,"Beta")</f>
        <v>1.5698000000000001</v>
      </c>
      <c r="J10" s="23" cm="1">
        <f t="array" aca="1" ref="J10" ca="1">_FV(C10,"Price")</f>
        <v>321.8</v>
      </c>
      <c r="K10" s="23" cm="1">
        <f t="array" aca="1" ref="K10" ca="1">_FV(C10,"Change")</f>
        <v>-35.270000000000003</v>
      </c>
      <c r="L10" s="27" cm="1">
        <f t="array" aca="1" ref="L10" ca="1">_FV(C10,"Change (%)",TRUE)</f>
        <v>-9.8775999999999989E-2</v>
      </c>
      <c r="M10" s="23" cm="1">
        <f t="array" aca="1" ref="M10" ca="1">_FV(C10,"High")</f>
        <v>362.81</v>
      </c>
      <c r="N10" s="23" cm="1">
        <f t="array" aca="1" ref="N10" ca="1">_FV(C10,"Low")</f>
        <v>318.39999999999998</v>
      </c>
      <c r="O10" s="23" cm="1">
        <f t="array" aca="1" ref="O10" ca="1">_FV(C10,"52 week high",TRUE)</f>
        <v>471.34</v>
      </c>
      <c r="P10" s="23" cm="1">
        <f t="array" aca="1" ref="P10" ca="1">_FV(C10,"52 week low",TRUE)</f>
        <v>61.54</v>
      </c>
      <c r="Q10" s="23" cm="1">
        <f t="array" aca="1" ref="Q10" ca="1">_FV(C10,"Previous close",TRUE)</f>
        <v>357.07</v>
      </c>
      <c r="R10" s="38" cm="1">
        <f t="array" aca="1" ref="R10" ca="1">_FV(C10,"Market cap",TRUE)</f>
        <v>362904801200</v>
      </c>
    </row>
    <row r="11" spans="1:21" ht="15">
      <c r="A11" s="11"/>
      <c r="B11" s="97" t="s">
        <v>96</v>
      </c>
      <c r="C11" s="97" t="e" vm="11">
        <v>#VALUE!</v>
      </c>
      <c r="D11" s="3" t="str" cm="1">
        <f t="array" aca="1" ref="D11" ca="1">_FV(C11,"Exchange abbreviation",TRUE)</f>
        <v>BATS</v>
      </c>
      <c r="E11" s="3" t="str" cm="1">
        <f t="array" aca="1" ref="E11" ca="1">_FV(C11,"Instrument type",TRUE)</f>
        <v>ETF</v>
      </c>
      <c r="F11" s="25" cm="1">
        <f t="array" aca="1" ref="F11" ca="1">_FV(C11,"Last trade time",TRUE)</f>
        <v>46111.87901954844</v>
      </c>
      <c r="G11" s="28" cm="1">
        <f t="array" aca="1" ref="G11" ca="1">_FV(C11,"Volume")</f>
        <v>1473711</v>
      </c>
      <c r="H11" s="23" cm="1">
        <f t="array" aca="1" ref="H11" ca="1">_FV(C11,"Open")</f>
        <v>217.34</v>
      </c>
      <c r="I11" s="26" cm="1">
        <f t="array" aca="1" ref="I11" ca="1">_FV(C11,"Beta")</f>
        <v>0.94530000000000003</v>
      </c>
      <c r="J11" s="23" cm="1">
        <f t="array" aca="1" ref="J11" ca="1">_FV(C11,"Price")</f>
        <v>210.67</v>
      </c>
      <c r="K11" s="23" cm="1">
        <f t="array" aca="1" ref="K11" ca="1">_FV(C11,"Change")</f>
        <v>-5.37</v>
      </c>
      <c r="L11" s="27" cm="1">
        <f t="array" aca="1" ref="L11" ca="1">_FV(C11,"Change (%)",TRUE)</f>
        <v>-2.4857000000000001E-2</v>
      </c>
      <c r="M11" s="23" cm="1">
        <f t="array" aca="1" ref="M11" ca="1">_FV(C11,"High")</f>
        <v>218.5</v>
      </c>
      <c r="N11" s="23" cm="1">
        <f t="array" aca="1" ref="N11" ca="1">_FV(C11,"Low")</f>
        <v>209.31</v>
      </c>
      <c r="O11" s="23" cm="1">
        <f t="array" aca="1" ref="O11" ca="1">_FV(C11,"52 week high",TRUE)</f>
        <v>250.65</v>
      </c>
      <c r="P11" s="23" cm="1">
        <f t="array" aca="1" ref="P11" ca="1">_FV(C11,"52 week low",TRUE)</f>
        <v>129.13999999999999</v>
      </c>
      <c r="Q11" s="23" cm="1">
        <f t="array" aca="1" ref="Q11" ca="1">_FV(C11,"Previous close",TRUE)</f>
        <v>216.04</v>
      </c>
      <c r="R11" s="38" cm="1">
        <f t="array" aca="1" ref="R11" ca="1">_FV(C11,"Market cap",TRUE)</f>
        <v>16010935446.83</v>
      </c>
    </row>
    <row r="12" spans="1:21" ht="15">
      <c r="A12" s="11"/>
      <c r="B12" s="97" t="s">
        <v>79</v>
      </c>
      <c r="C12" s="97" t="e" vm="12">
        <v>#VALUE!</v>
      </c>
      <c r="D12" s="3" t="str" cm="1">
        <f t="array" aca="1" ref="D12" ca="1">_FV(C12,"Exchange abbreviation",TRUE)</f>
        <v>XNYS</v>
      </c>
      <c r="E12" s="3" t="str" cm="1">
        <f t="array" aca="1" ref="E12" ca="1">_FV(C12,"Instrument type",TRUE)</f>
        <v>Stock</v>
      </c>
      <c r="F12" s="25" cm="1">
        <f t="array" aca="1" ref="F12" ca="1">_FV(C12,"Last trade time",TRUE)</f>
        <v>46111.882131075785</v>
      </c>
      <c r="G12" s="28" cm="1">
        <f t="array" aca="1" ref="G12" ca="1">_FV(C12,"Volume")</f>
        <v>29663929</v>
      </c>
      <c r="H12" s="23" cm="1">
        <f t="array" aca="1" ref="H12" ca="1">_FV(C12,"Open")</f>
        <v>172.505</v>
      </c>
      <c r="I12" s="26" cm="1">
        <f t="array" aca="1" ref="I12" ca="1">_FV(C12,"Beta")</f>
        <v>0.25609999999999999</v>
      </c>
      <c r="J12" s="23" cm="1">
        <f t="array" aca="1" ref="J12" ca="1">_FV(C12,"Price")</f>
        <v>171.5</v>
      </c>
      <c r="K12" s="23" cm="1">
        <f t="array" aca="1" ref="K12" ca="1">_FV(C12,"Change")</f>
        <v>0.51</v>
      </c>
      <c r="L12" s="27" cm="1">
        <f t="array" aca="1" ref="L12" ca="1">_FV(C12,"Change (%)",TRUE)</f>
        <v>2.983E-3</v>
      </c>
      <c r="M12" s="23" cm="1">
        <f t="array" aca="1" ref="M12" ca="1">_FV(C12,"High")</f>
        <v>176.41</v>
      </c>
      <c r="N12" s="23" cm="1">
        <f t="array" aca="1" ref="N12" ca="1">_FV(C12,"Low")</f>
        <v>171.05</v>
      </c>
      <c r="O12" s="23" cm="1">
        <f t="array" aca="1" ref="O12" ca="1">_FV(C12,"52 week high",TRUE)</f>
        <v>176.41</v>
      </c>
      <c r="P12" s="23" cm="1">
        <f t="array" aca="1" ref="P12" ca="1">_FV(C12,"52 week low",TRUE)</f>
        <v>97.8</v>
      </c>
      <c r="Q12" s="23" cm="1">
        <f t="array" aca="1" ref="Q12" ca="1">_FV(C12,"Previous close",TRUE)</f>
        <v>170.99</v>
      </c>
      <c r="R12" s="38" cm="1">
        <f t="array" aca="1" ref="R12" ca="1">_FV(C12,"Market cap",TRUE)</f>
        <v>714600026000</v>
      </c>
    </row>
    <row r="13" spans="1:21" ht="15">
      <c r="A13" s="11"/>
      <c r="B13" s="97" t="s">
        <v>152</v>
      </c>
      <c r="C13" s="97" t="e" vm="13">
        <v>#VALUE!</v>
      </c>
      <c r="D13" s="3" t="str" cm="1">
        <f t="array" aca="1" ref="D13" ca="1">_FV(C13,"Exchange abbreviation",TRUE)</f>
        <v>XNYS</v>
      </c>
      <c r="E13" s="3" t="str" cm="1">
        <f t="array" aca="1" ref="E13" ca="1">_FV(C13,"Instrument type",TRUE)</f>
        <v>Stock</v>
      </c>
      <c r="F13" s="25" cm="1">
        <f t="array" aca="1" ref="F13" ca="1">_FV(C13,"Last trade time",TRUE)</f>
        <v>46111.878296955467</v>
      </c>
      <c r="G13" s="28" cm="1">
        <f t="array" aca="1" ref="G13" ca="1">_FV(C13,"Volume")</f>
        <v>12888491</v>
      </c>
      <c r="H13" s="23" cm="1">
        <f t="array" aca="1" ref="H13" ca="1">_FV(C13,"Open")</f>
        <v>64</v>
      </c>
      <c r="I13" s="26" cm="1">
        <f t="array" aca="1" ref="I13" ca="1">_FV(C13,"Beta")</f>
        <v>1.7302</v>
      </c>
      <c r="J13" s="23" cm="1">
        <f t="array" aca="1" ref="J13" ca="1">_FV(C13,"Price")</f>
        <v>63.21</v>
      </c>
      <c r="K13" s="23" cm="1">
        <f t="array" aca="1" ref="K13" ca="1">_FV(C13,"Change")</f>
        <v>4.8</v>
      </c>
      <c r="L13" s="27" cm="1">
        <f t="array" aca="1" ref="L13" ca="1">_FV(C13,"Change (%)",TRUE)</f>
        <v>8.2178000000000001E-2</v>
      </c>
      <c r="M13" s="23" cm="1">
        <f t="array" aca="1" ref="M13" ca="1">_FV(C13,"High")</f>
        <v>66</v>
      </c>
      <c r="N13" s="23" cm="1">
        <f t="array" aca="1" ref="N13" ca="1">_FV(C13,"Low")</f>
        <v>62.13</v>
      </c>
      <c r="O13" s="23" cm="1">
        <f t="array" aca="1" ref="O13" ca="1">_FV(C13,"52 week high",TRUE)</f>
        <v>68.400000000000006</v>
      </c>
      <c r="P13" s="23" cm="1">
        <f t="array" aca="1" ref="P13" ca="1">_FV(C13,"52 week low",TRUE)</f>
        <v>21.53</v>
      </c>
      <c r="Q13" s="23" cm="1">
        <f t="array" aca="1" ref="Q13" ca="1">_FV(C13,"Previous close",TRUE)</f>
        <v>58.41</v>
      </c>
      <c r="R13" s="38" cm="1">
        <f t="array" aca="1" ref="R13" ca="1">_FV(C13,"Market cap",TRUE)</f>
        <v>16678754946</v>
      </c>
    </row>
    <row r="14" spans="1:21" ht="15">
      <c r="A14" s="11"/>
      <c r="B14" s="97" t="s">
        <v>64</v>
      </c>
      <c r="C14" s="97" t="e" vm="14">
        <v>#VALUE!</v>
      </c>
      <c r="D14" s="3" t="str" cm="1">
        <f t="array" aca="1" ref="D14" ca="1">_FV(C14,"Exchange abbreviation",TRUE)</f>
        <v>XNAS</v>
      </c>
      <c r="E14" s="3" t="str" cm="1">
        <f t="array" aca="1" ref="E14" ca="1">_FV(C14,"Instrument type",TRUE)</f>
        <v>Stock</v>
      </c>
      <c r="F14" s="25" cm="1">
        <f t="array" aca="1" ref="F14" ca="1">_FV(C14,"Last trade time",TRUE)</f>
        <v>46111.881943367967</v>
      </c>
      <c r="G14" s="28" cm="1">
        <f t="array" aca="1" ref="G14" ca="1">_FV(C14,"Volume")</f>
        <v>46154615</v>
      </c>
      <c r="H14" s="23" cm="1">
        <f t="array" aca="1" ref="H14" ca="1">_FV(C14,"Open")</f>
        <v>201.48</v>
      </c>
      <c r="I14" s="26" cm="1">
        <f t="array" aca="1" ref="I14" ca="1">_FV(C14,"Beta")</f>
        <v>1.3776999999999999</v>
      </c>
      <c r="J14" s="23" cm="1">
        <f t="array" aca="1" ref="J14" ca="1">_FV(C14,"Price")</f>
        <v>200.95</v>
      </c>
      <c r="K14" s="23" cm="1">
        <f t="array" aca="1" ref="K14" ca="1">_FV(C14,"Change")</f>
        <v>1.61</v>
      </c>
      <c r="L14" s="27" cm="1">
        <f t="array" aca="1" ref="L14" ca="1">_FV(C14,"Change (%)",TRUE)</f>
        <v>8.0769999999999991E-3</v>
      </c>
      <c r="M14" s="23" cm="1">
        <f t="array" aca="1" ref="M14" ca="1">_FV(C14,"High")</f>
        <v>203.8</v>
      </c>
      <c r="N14" s="23" cm="1">
        <f t="array" aca="1" ref="N14" ca="1">_FV(C14,"Low")</f>
        <v>199.9802</v>
      </c>
      <c r="O14" s="23" cm="1">
        <f t="array" aca="1" ref="O14" ca="1">_FV(C14,"52 week high",TRUE)</f>
        <v>258.60000000000002</v>
      </c>
      <c r="P14" s="23" cm="1">
        <f t="array" aca="1" ref="P14" ca="1">_FV(C14,"52 week low",TRUE)</f>
        <v>161.38</v>
      </c>
      <c r="Q14" s="23" cm="1">
        <f t="array" aca="1" ref="Q14" ca="1">_FV(C14,"Previous close",TRUE)</f>
        <v>199.34</v>
      </c>
      <c r="R14" s="38" cm="1">
        <f t="array" aca="1" ref="R14" ca="1">_FV(C14,"Market cap",TRUE)</f>
        <v>2157182174000</v>
      </c>
    </row>
    <row r="15" spans="1:21" ht="15">
      <c r="A15" s="11"/>
      <c r="B15" s="97" t="s">
        <v>149</v>
      </c>
      <c r="C15" s="97" t="e" vm="15">
        <v>#VALUE!</v>
      </c>
      <c r="D15" s="3" t="str" cm="1">
        <f t="array" aca="1" ref="D15" ca="1">_FV(C15,"Exchange abbreviation",TRUE)</f>
        <v>XNAS</v>
      </c>
      <c r="E15" s="3" t="str" cm="1">
        <f t="array" aca="1" ref="E15" ca="1">_FV(C15,"Instrument type",TRUE)</f>
        <v>Stock</v>
      </c>
      <c r="F15" s="25" cm="1">
        <f t="array" aca="1" ref="F15" ca="1">_FV(C15,"Last trade time",TRUE)</f>
        <v>46111.879055115627</v>
      </c>
      <c r="G15" s="28" cm="1">
        <f t="array" aca="1" ref="G15" ca="1">_FV(C15,"Volume")</f>
        <v>4632407</v>
      </c>
      <c r="H15" s="23" cm="1">
        <f t="array" aca="1" ref="H15" ca="1">_FV(C15,"Open")</f>
        <v>56.39</v>
      </c>
      <c r="I15" s="26" cm="1">
        <f t="array" aca="1" ref="I15" ca="1">_FV(C15,"Beta")</f>
        <v>2.0478999999999998</v>
      </c>
      <c r="J15" s="23" cm="1">
        <f t="array" aca="1" ref="J15" ca="1">_FV(C15,"Price")</f>
        <v>53.25</v>
      </c>
      <c r="K15" s="23" cm="1">
        <f t="array" aca="1" ref="K15" ca="1">_FV(C15,"Change")</f>
        <v>3.6</v>
      </c>
      <c r="L15" s="27" cm="1">
        <f t="array" aca="1" ref="L15" ca="1">_FV(C15,"Change (%)",TRUE)</f>
        <v>7.2508000000000003E-2</v>
      </c>
      <c r="M15" s="23" cm="1">
        <f t="array" aca="1" ref="M15" ca="1">_FV(C15,"High")</f>
        <v>59.84</v>
      </c>
      <c r="N15" s="23" cm="1">
        <f t="array" aca="1" ref="N15" ca="1">_FV(C15,"Low")</f>
        <v>51.89</v>
      </c>
      <c r="O15" s="23" cm="1">
        <f t="array" aca="1" ref="O15" ca="1">_FV(C15,"52 week high",TRUE)</f>
        <v>59.84</v>
      </c>
      <c r="P15" s="23" cm="1">
        <f t="array" aca="1" ref="P15" ca="1">_FV(C15,"52 week low",TRUE)</f>
        <v>13.05</v>
      </c>
      <c r="Q15" s="23" cm="1">
        <f t="array" aca="1" ref="Q15" ca="1">_FV(C15,"Previous close",TRUE)</f>
        <v>49.65</v>
      </c>
      <c r="R15" s="38" cm="1">
        <f t="array" aca="1" ref="R15" ca="1">_FV(C15,"Market cap",TRUE)</f>
        <v>5270368162</v>
      </c>
    </row>
    <row r="16" spans="1:21" ht="15">
      <c r="A16" s="11"/>
      <c r="B16" s="97" t="s">
        <v>105</v>
      </c>
      <c r="C16" s="97" t="e" vm="16">
        <v>#VALUE!</v>
      </c>
      <c r="D16" s="3" t="str" cm="1">
        <f t="array" aca="1" ref="D16" ca="1">_FV(C16,"Exchange abbreviation",TRUE)</f>
        <v>XNYS</v>
      </c>
      <c r="E16" s="3" t="str" cm="1">
        <f t="array" aca="1" ref="E16" ca="1">_FV(C16,"Instrument type",TRUE)</f>
        <v>Stock</v>
      </c>
      <c r="F16" s="25" cm="1">
        <f t="array" aca="1" ref="F16" ca="1">_FV(C16,"Last trade time",TRUE)</f>
        <v>46111.882138089844</v>
      </c>
      <c r="G16" s="28" cm="1">
        <f t="array" aca="1" ref="G16" ca="1">_FV(C16,"Volume")</f>
        <v>18097195</v>
      </c>
      <c r="H16" s="23" cm="1">
        <f t="array" aca="1" ref="H16" ca="1">_FV(C16,"Open")</f>
        <v>140.04</v>
      </c>
      <c r="I16" s="26" cm="1">
        <f t="array" aca="1" ref="I16" ca="1">_FV(C16,"Beta")</f>
        <v>1.5898000000000001</v>
      </c>
      <c r="J16" s="23" cm="1">
        <f t="array" aca="1" ref="J16" ca="1">_FV(C16,"Price")</f>
        <v>138.76</v>
      </c>
      <c r="K16" s="23" cm="1">
        <f t="array" aca="1" ref="K16" ca="1">_FV(C16,"Change")</f>
        <v>-0.9</v>
      </c>
      <c r="L16" s="27" cm="1">
        <f t="array" aca="1" ref="L16" ca="1">_FV(C16,"Change (%)",TRUE)</f>
        <v>-6.4440000000000001E-3</v>
      </c>
      <c r="M16" s="23" cm="1">
        <f t="array" aca="1" ref="M16" ca="1">_FV(C16,"High")</f>
        <v>141.19999999999999</v>
      </c>
      <c r="N16" s="23" cm="1">
        <f t="array" aca="1" ref="N16" ca="1">_FV(C16,"Low")</f>
        <v>136.94999999999999</v>
      </c>
      <c r="O16" s="23" cm="1">
        <f t="array" aca="1" ref="O16" ca="1">_FV(C16,"52 week high",TRUE)</f>
        <v>345.72</v>
      </c>
      <c r="P16" s="23" cm="1">
        <f t="array" aca="1" ref="P16" ca="1">_FV(C16,"52 week low",TRUE)</f>
        <v>118.86</v>
      </c>
      <c r="Q16" s="23" cm="1">
        <f t="array" aca="1" ref="Q16" ca="1">_FV(C16,"Previous close",TRUE)</f>
        <v>139.66</v>
      </c>
      <c r="R16" s="38" cm="1">
        <f t="array" aca="1" ref="R16" ca="1">_FV(C16,"Market cap",TRUE)</f>
        <v>399080142960</v>
      </c>
    </row>
    <row r="17" spans="1:18" ht="15">
      <c r="A17" s="11"/>
      <c r="B17" s="97" t="s">
        <v>102</v>
      </c>
      <c r="C17" s="97" t="e" vm="17">
        <v>#VALUE!</v>
      </c>
      <c r="D17" s="3" t="str" cm="1">
        <f t="array" aca="1" ref="D17" ca="1">_FV(C17,"Exchange abbreviation",TRUE)</f>
        <v>XNAS</v>
      </c>
      <c r="E17" s="3" t="str" cm="1">
        <f t="array" aca="1" ref="E17" ca="1">_FV(C17,"Instrument type",TRUE)</f>
        <v>Stock</v>
      </c>
      <c r="F17" s="25" cm="1">
        <f t="array" aca="1" ref="F17" ca="1">_FV(C17,"Last trade time",TRUE)</f>
        <v>46111.882168923439</v>
      </c>
      <c r="G17" s="28" cm="1">
        <f t="array" aca="1" ref="G17" ca="1">_FV(C17,"Volume")</f>
        <v>184383978</v>
      </c>
      <c r="H17" s="23" cm="1">
        <f t="array" aca="1" ref="H17" ca="1">_FV(C17,"Open")</f>
        <v>168.78</v>
      </c>
      <c r="I17" s="26" cm="1">
        <f t="array" aca="1" ref="I17" ca="1">_FV(C17,"Beta")</f>
        <v>2.3098999999999998</v>
      </c>
      <c r="J17" s="23" cm="1">
        <f t="array" aca="1" ref="J17" ca="1">_FV(C17,"Price")</f>
        <v>165.17</v>
      </c>
      <c r="K17" s="23" cm="1">
        <f t="array" aca="1" ref="K17" ca="1">_FV(C17,"Change")</f>
        <v>-2.35</v>
      </c>
      <c r="L17" s="27" cm="1">
        <f t="array" aca="1" ref="L17" ca="1">_FV(C17,"Change (%)",TRUE)</f>
        <v>-1.4028000000000001E-2</v>
      </c>
      <c r="M17" s="23" cm="1">
        <f t="array" aca="1" ref="M17" ca="1">_FV(C17,"High")</f>
        <v>169.45</v>
      </c>
      <c r="N17" s="23" cm="1">
        <f t="array" aca="1" ref="N17" ca="1">_FV(C17,"Low")</f>
        <v>164.27</v>
      </c>
      <c r="O17" s="23" cm="1">
        <f t="array" aca="1" ref="O17" ca="1">_FV(C17,"52 week high",TRUE)</f>
        <v>212.18989999999999</v>
      </c>
      <c r="P17" s="23" cm="1">
        <f t="array" aca="1" ref="P17" ca="1">_FV(C17,"52 week low",TRUE)</f>
        <v>86.62</v>
      </c>
      <c r="Q17" s="23" cm="1">
        <f t="array" aca="1" ref="Q17" ca="1">_FV(C17,"Previous close",TRUE)</f>
        <v>167.52</v>
      </c>
      <c r="R17" s="38" cm="1">
        <f t="array" aca="1" ref="R17" ca="1">_FV(C17,"Market cap",TRUE)</f>
        <v>4013630999999</v>
      </c>
    </row>
    <row r="18" spans="1:18" ht="15">
      <c r="A18" s="11"/>
      <c r="B18" s="97" t="s">
        <v>67</v>
      </c>
      <c r="C18" s="97" t="e" vm="18">
        <v>#VALUE!</v>
      </c>
      <c r="D18" s="3" t="str" cm="1">
        <f t="array" aca="1" ref="D18" ca="1">_FV(C18,"Exchange abbreviation",TRUE)</f>
        <v>XNAS</v>
      </c>
      <c r="E18" s="3" t="str" cm="1">
        <f t="array" aca="1" ref="E18" ca="1">_FV(C18,"Instrument type",TRUE)</f>
        <v>Stock</v>
      </c>
      <c r="F18" s="25" cm="1">
        <f t="array" aca="1" ref="F18" ca="1">_FV(C18,"Last trade time",TRUE)</f>
        <v>46111.88156778906</v>
      </c>
      <c r="G18" s="28" cm="1">
        <f t="array" aca="1" ref="G18" ca="1">_FV(C18,"Volume")</f>
        <v>33942667</v>
      </c>
      <c r="H18" s="23" cm="1">
        <f t="array" aca="1" ref="H18" ca="1">_FV(C18,"Open")</f>
        <v>276.42</v>
      </c>
      <c r="I18" s="26" cm="1">
        <f t="array" aca="1" ref="I18" ca="1">_FV(C18,"Beta")</f>
        <v>1.1458999999999999</v>
      </c>
      <c r="J18" s="23" cm="1">
        <f t="array" aca="1" ref="J18" ca="1">_FV(C18,"Price")</f>
        <v>273.5</v>
      </c>
      <c r="K18" s="23" cm="1">
        <f t="array" aca="1" ref="K18" ca="1">_FV(C18,"Change")</f>
        <v>-0.84</v>
      </c>
      <c r="L18" s="27" cm="1">
        <f t="array" aca="1" ref="L18" ca="1">_FV(C18,"Change (%)",TRUE)</f>
        <v>-3.0620000000000005E-3</v>
      </c>
      <c r="M18" s="23" cm="1">
        <f t="array" aca="1" ref="M18" ca="1">_FV(C18,"High")</f>
        <v>277.08999999999997</v>
      </c>
      <c r="N18" s="23" cm="1">
        <f t="array" aca="1" ref="N18" ca="1">_FV(C18,"Low")</f>
        <v>272.11</v>
      </c>
      <c r="O18" s="23" cm="1">
        <f t="array" aca="1" ref="O18" ca="1">_FV(C18,"52 week high",TRUE)</f>
        <v>349</v>
      </c>
      <c r="P18" s="23" cm="1">
        <f t="array" aca="1" ref="P18" ca="1">_FV(C18,"52 week low",TRUE)</f>
        <v>140.53</v>
      </c>
      <c r="Q18" s="23" cm="1">
        <f t="array" aca="1" ref="Q18" ca="1">_FV(C18,"Previous close",TRUE)</f>
        <v>274.33999999999997</v>
      </c>
      <c r="R18" s="38" cm="1">
        <f t="array" aca="1" ref="R18" ca="1">_FV(C18,"Market cap",TRUE)</f>
        <v>3308529500000</v>
      </c>
    </row>
    <row r="19" spans="1:18" ht="15">
      <c r="A19" s="11"/>
      <c r="B19" s="97" t="s">
        <v>111</v>
      </c>
      <c r="C19" s="97" t="e" vm="19">
        <v>#VALUE!</v>
      </c>
      <c r="D19" s="3" t="str" cm="1">
        <f t="array" aca="1" ref="D19" ca="1">_FV(C19,"Exchange abbreviation",TRUE)</f>
        <v>OTCM</v>
      </c>
      <c r="E19" s="3" t="str" cm="1">
        <f t="array" aca="1" ref="E19" ca="1">_FV(C19,"Instrument type",TRUE)</f>
        <v>Stock</v>
      </c>
      <c r="F19" s="25" cm="1">
        <f t="array" aca="1" ref="F19" ca="1">_FV(C19,"Last trade time",TRUE)</f>
        <v>46111.833333333336</v>
      </c>
      <c r="G19" s="28" cm="1">
        <f t="array" aca="1" ref="G19" ca="1">_FV(C19,"Volume")</f>
        <v>251933</v>
      </c>
      <c r="H19" s="23" cm="1">
        <f t="array" aca="1" ref="H19" ca="1">_FV(C19,"Open")</f>
        <v>117.43</v>
      </c>
      <c r="I19" s="26" cm="1">
        <f t="array" aca="1" ref="I19" ca="1">_FV(C19,"Beta")</f>
        <v>1.3366</v>
      </c>
      <c r="J19" s="23" cm="1">
        <f t="array" aca="1" ref="J19" ca="1">_FV(C19,"Price")</f>
        <v>117.07</v>
      </c>
      <c r="K19" s="23" cm="1">
        <f t="array" aca="1" ref="K19" ca="1">_FV(C19,"Change")</f>
        <v>-7.0000000000000007E-2</v>
      </c>
      <c r="L19" s="27" cm="1">
        <f t="array" aca="1" ref="L19" ca="1">_FV(C19,"Change (%)",TRUE)</f>
        <v>-5.976E-4</v>
      </c>
      <c r="M19" s="23" cm="1">
        <f t="array" aca="1" ref="M19" ca="1">_FV(C19,"High")</f>
        <v>118.07</v>
      </c>
      <c r="N19" s="23" cm="1">
        <f t="array" aca="1" ref="N19" ca="1">_FV(C19,"Low")</f>
        <v>115.922</v>
      </c>
      <c r="O19" s="23" cm="1">
        <f t="array" aca="1" ref="O19" ca="1">_FV(C19,"52 week high",TRUE)</f>
        <v>161.80000000000001</v>
      </c>
      <c r="P19" s="23" cm="1">
        <f t="array" aca="1" ref="P19" ca="1">_FV(C19,"52 week low",TRUE)</f>
        <v>94.545000000000002</v>
      </c>
      <c r="Q19" s="23" cm="1">
        <f t="array" aca="1" ref="Q19" ca="1">_FV(C19,"Previous close",TRUE)</f>
        <v>117.14</v>
      </c>
      <c r="R19" s="38" cm="1">
        <f t="array" aca="1" ref="R19" ca="1">_FV(C19,"Market cap",TRUE)</f>
        <v>183097480000</v>
      </c>
    </row>
    <row r="20" spans="1:18" ht="15">
      <c r="A20" s="11"/>
      <c r="B20" s="97" t="s">
        <v>58</v>
      </c>
      <c r="C20" s="97" t="e" vm="20">
        <v>#VALUE!</v>
      </c>
      <c r="D20" s="3" t="str" cm="1">
        <f t="array" aca="1" ref="D20" ca="1">_FV(C20,"Exchange abbreviation",TRUE)</f>
        <v>XNAS</v>
      </c>
      <c r="E20" s="3" t="str" cm="1">
        <f t="array" aca="1" ref="E20" ca="1">_FV(C20,"Instrument type",TRUE)</f>
        <v>Stock</v>
      </c>
      <c r="F20" s="25" cm="1">
        <f t="array" aca="1" ref="F20" ca="1">_FV(C20,"Last trade time",TRUE)</f>
        <v>46111.882107476566</v>
      </c>
      <c r="G20" s="28" cm="1">
        <f t="array" aca="1" ref="G20" ca="1">_FV(C20,"Volume")</f>
        <v>40823306</v>
      </c>
      <c r="H20" s="23" cm="1">
        <f t="array" aca="1" ref="H20" ca="1">_FV(C20,"Open")</f>
        <v>143.27000000000001</v>
      </c>
      <c r="I20" s="26" cm="1">
        <f t="array" aca="1" ref="I20" ca="1">_FV(C20,"Beta")</f>
        <v>1.64</v>
      </c>
      <c r="J20" s="23" cm="1">
        <f t="array" aca="1" ref="J20" ca="1">_FV(C20,"Price")</f>
        <v>137.55000000000001</v>
      </c>
      <c r="K20" s="23" cm="1">
        <f t="array" aca="1" ref="K20" ca="1">_FV(C20,"Change")</f>
        <v>-5.51</v>
      </c>
      <c r="L20" s="27" cm="1">
        <f t="array" aca="1" ref="L20" ca="1">_FV(C20,"Change (%)",TRUE)</f>
        <v>-3.8515000000000001E-2</v>
      </c>
      <c r="M20" s="23" cm="1">
        <f t="array" aca="1" ref="M20" ca="1">_FV(C20,"High")</f>
        <v>144.12</v>
      </c>
      <c r="N20" s="23" cm="1">
        <f t="array" aca="1" ref="N20" ca="1">_FV(C20,"Low")</f>
        <v>136.30000000000001</v>
      </c>
      <c r="O20" s="23" cm="1">
        <f t="array" aca="1" ref="O20" ca="1">_FV(C20,"52 week high",TRUE)</f>
        <v>207.52</v>
      </c>
      <c r="P20" s="23" cm="1">
        <f t="array" aca="1" ref="P20" ca="1">_FV(C20,"52 week low",TRUE)</f>
        <v>66.12</v>
      </c>
      <c r="Q20" s="23" cm="1">
        <f t="array" aca="1" ref="Q20" ca="1">_FV(C20,"Previous close",TRUE)</f>
        <v>143.06</v>
      </c>
      <c r="R20" s="38" cm="1">
        <f t="array" aca="1" ref="R20" ca="1">_FV(C20,"Market cap",TRUE)</f>
        <v>328836796050</v>
      </c>
    </row>
    <row r="21" spans="1:18" ht="22.15">
      <c r="A21" s="11"/>
      <c r="B21" s="3"/>
      <c r="C21" s="3"/>
      <c r="D21" s="3"/>
      <c r="E21" s="3"/>
      <c r="F21" s="25"/>
      <c r="G21" s="28"/>
      <c r="H21" s="23"/>
      <c r="I21" s="26"/>
      <c r="J21" s="23"/>
      <c r="K21" s="23"/>
      <c r="L21" s="27"/>
      <c r="M21" s="23"/>
      <c r="N21" s="23"/>
      <c r="O21" s="23"/>
      <c r="P21" s="23"/>
      <c r="Q21" s="23"/>
      <c r="R21" s="38"/>
    </row>
    <row r="22" spans="1:18" ht="22.15">
      <c r="A22" s="11"/>
      <c r="B22" s="3"/>
      <c r="C22" s="3"/>
      <c r="D22" s="3"/>
      <c r="E22" s="3"/>
      <c r="F22" s="25"/>
      <c r="G22" s="28"/>
      <c r="H22" s="23"/>
      <c r="I22" s="26"/>
      <c r="J22" s="23"/>
      <c r="K22" s="23"/>
      <c r="L22" s="27"/>
      <c r="M22" s="23"/>
      <c r="N22" s="23"/>
      <c r="O22" s="23"/>
      <c r="P22" s="23"/>
      <c r="Q22" s="23"/>
      <c r="R22" s="38"/>
    </row>
    <row r="23" spans="1:18" ht="22.15">
      <c r="A23" s="11"/>
      <c r="B23" s="3"/>
      <c r="C23" s="3"/>
      <c r="D23" s="3"/>
      <c r="E23" s="3"/>
      <c r="F23" s="25"/>
      <c r="G23" s="28"/>
      <c r="H23" s="23"/>
      <c r="I23" s="26"/>
      <c r="J23" s="23"/>
      <c r="K23" s="23"/>
      <c r="L23" s="27"/>
      <c r="M23" s="23"/>
      <c r="N23" s="23"/>
      <c r="O23" s="23"/>
      <c r="P23" s="23"/>
      <c r="Q23" s="23"/>
      <c r="R23" s="38"/>
    </row>
    <row r="24" spans="1:18" ht="22.15">
      <c r="A24" s="11"/>
      <c r="B24" s="3"/>
      <c r="C24" s="3"/>
      <c r="D24" s="3"/>
      <c r="E24" s="3"/>
      <c r="F24" s="25"/>
      <c r="G24" s="28"/>
      <c r="H24" s="23"/>
      <c r="I24" s="26"/>
      <c r="J24" s="23"/>
      <c r="K24" s="23"/>
      <c r="L24" s="27"/>
      <c r="M24" s="23"/>
      <c r="N24" s="23"/>
      <c r="O24" s="23"/>
      <c r="P24" s="23"/>
      <c r="Q24" s="23"/>
      <c r="R24" s="38"/>
    </row>
    <row r="25" spans="1:18" ht="22.15">
      <c r="A25" s="11"/>
      <c r="B25" s="3"/>
      <c r="C25" s="3"/>
      <c r="D25" s="3"/>
      <c r="E25" s="3"/>
      <c r="F25" s="25"/>
      <c r="G25" s="28"/>
      <c r="H25" s="23"/>
      <c r="I25" s="26"/>
      <c r="J25" s="23"/>
      <c r="K25" s="23"/>
      <c r="L25" s="27"/>
      <c r="M25" s="23"/>
      <c r="N25" s="23"/>
      <c r="O25" s="23"/>
      <c r="P25" s="23"/>
      <c r="Q25" s="23"/>
      <c r="R25" s="3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52DD0-2D30-0249-832D-557AEDCA4765}">
  <sheetPr codeName="Sheet4"/>
  <dimension ref="A1:KK420"/>
  <sheetViews>
    <sheetView topLeftCell="A2" zoomScale="57" zoomScaleNormal="100" workbookViewId="0">
      <selection activeCell="J3" sqref="J3"/>
    </sheetView>
  </sheetViews>
  <sheetFormatPr defaultColWidth="11.42578125" defaultRowHeight="25.15"/>
  <cols>
    <col min="1" max="1" width="33.7109375" style="16" bestFit="1" customWidth="1"/>
    <col min="2" max="2" width="31" style="16" bestFit="1" customWidth="1"/>
    <col min="3" max="3" width="77.85546875" style="22" customWidth="1"/>
    <col min="4" max="4" width="99.28515625" style="22" customWidth="1"/>
    <col min="5" max="5" width="128.140625" style="22" customWidth="1"/>
    <col min="6" max="6" width="11.42578125" style="16"/>
    <col min="7" max="7" width="22.85546875" style="16" customWidth="1"/>
    <col min="8" max="8" width="38.140625" style="16" customWidth="1"/>
    <col min="9" max="295" width="11.42578125" style="16"/>
    <col min="296" max="296" width="15.140625" style="16" bestFit="1" customWidth="1"/>
    <col min="297" max="297" width="8.42578125" style="16" bestFit="1" customWidth="1"/>
    <col min="298" max="16384" width="11.42578125" style="16"/>
  </cols>
  <sheetData>
    <row r="1" spans="1:9" ht="50.45">
      <c r="A1" s="15" t="s">
        <v>217</v>
      </c>
      <c r="B1" s="15" t="s">
        <v>218</v>
      </c>
      <c r="C1" s="15" t="s">
        <v>219</v>
      </c>
      <c r="D1" s="15" t="s">
        <v>220</v>
      </c>
      <c r="E1" s="15" t="s">
        <v>221</v>
      </c>
    </row>
    <row r="2" spans="1:9" ht="299.45" customHeight="1">
      <c r="A2" s="17">
        <v>45692</v>
      </c>
      <c r="B2" s="17">
        <v>46070</v>
      </c>
      <c r="C2" s="40" t="s">
        <v>222</v>
      </c>
      <c r="D2" s="40" t="s">
        <v>223</v>
      </c>
      <c r="E2" s="40" t="s">
        <v>224</v>
      </c>
    </row>
    <row r="3" spans="1:9" ht="341.45" customHeight="1">
      <c r="A3" s="17">
        <f>B2+1</f>
        <v>46071</v>
      </c>
      <c r="B3" s="17">
        <v>46083</v>
      </c>
      <c r="C3" s="40" t="s">
        <v>225</v>
      </c>
      <c r="D3" s="18" t="s">
        <v>226</v>
      </c>
      <c r="E3" s="40" t="s">
        <v>227</v>
      </c>
      <c r="G3" s="106"/>
      <c r="H3" s="106"/>
      <c r="I3" s="106"/>
    </row>
    <row r="4" spans="1:9" ht="277.14999999999998">
      <c r="A4" s="17">
        <f t="shared" ref="A4" si="0">B3+1</f>
        <v>46084</v>
      </c>
      <c r="B4" s="68">
        <v>46097</v>
      </c>
      <c r="C4" s="18" t="s">
        <v>228</v>
      </c>
      <c r="D4" s="18" t="s">
        <v>229</v>
      </c>
      <c r="E4" s="18" t="s">
        <v>230</v>
      </c>
    </row>
    <row r="5" spans="1:9" ht="25.15" customHeight="1">
      <c r="A5" s="107" t="s">
        <v>231</v>
      </c>
      <c r="B5" s="108"/>
      <c r="C5" s="108"/>
      <c r="D5" s="108"/>
      <c r="E5" s="109"/>
    </row>
    <row r="6" spans="1:9" ht="409.15" customHeight="1">
      <c r="A6" s="99">
        <v>46098</v>
      </c>
      <c r="B6" s="68">
        <v>46111</v>
      </c>
      <c r="C6" s="100" t="s">
        <v>232</v>
      </c>
      <c r="D6" s="100" t="s">
        <v>233</v>
      </c>
      <c r="E6" s="100" t="s">
        <v>234</v>
      </c>
    </row>
    <row r="7" spans="1:9">
      <c r="A7" s="17"/>
      <c r="B7" s="17"/>
      <c r="C7" s="18"/>
      <c r="D7" s="18"/>
      <c r="E7" s="18"/>
    </row>
    <row r="8" spans="1:9">
      <c r="A8" s="19"/>
      <c r="B8" s="19"/>
      <c r="C8" s="20"/>
      <c r="D8" s="20"/>
      <c r="E8" s="20"/>
    </row>
    <row r="9" spans="1:9">
      <c r="A9" s="19"/>
      <c r="B9" s="19"/>
      <c r="C9" s="20"/>
      <c r="D9" s="20"/>
      <c r="E9" s="20"/>
    </row>
    <row r="10" spans="1:9">
      <c r="A10" s="19"/>
      <c r="B10" s="19"/>
      <c r="C10" s="20"/>
      <c r="D10" s="20"/>
      <c r="E10"/>
      <c r="F10"/>
      <c r="G10"/>
    </row>
    <row r="11" spans="1:9">
      <c r="A11" s="19"/>
      <c r="B11" s="19"/>
      <c r="C11" s="20"/>
      <c r="D11" s="20"/>
      <c r="E11"/>
      <c r="F11"/>
      <c r="G11"/>
    </row>
    <row r="12" spans="1:9">
      <c r="A12" s="19"/>
      <c r="B12" s="19"/>
      <c r="C12" s="20"/>
      <c r="D12" s="20"/>
      <c r="E12"/>
      <c r="F12"/>
      <c r="G12"/>
    </row>
    <row r="13" spans="1:9">
      <c r="A13" s="19"/>
      <c r="B13" s="19"/>
      <c r="C13" s="20"/>
      <c r="D13" s="20"/>
      <c r="E13"/>
      <c r="F13"/>
      <c r="G13"/>
    </row>
    <row r="14" spans="1:9">
      <c r="A14" s="19"/>
      <c r="B14" s="19"/>
      <c r="C14" s="20"/>
      <c r="D14" s="20"/>
      <c r="E14"/>
      <c r="F14"/>
      <c r="G14"/>
    </row>
    <row r="15" spans="1:9">
      <c r="A15" s="19"/>
      <c r="B15" s="19"/>
      <c r="C15" s="20"/>
      <c r="D15" s="20"/>
      <c r="E15"/>
      <c r="F15"/>
      <c r="G15"/>
    </row>
    <row r="16" spans="1:9">
      <c r="A16" s="19"/>
      <c r="B16" s="19"/>
      <c r="C16" s="20"/>
      <c r="D16" s="20"/>
      <c r="E16"/>
      <c r="F16"/>
      <c r="G16"/>
    </row>
    <row r="17" spans="1:7">
      <c r="A17" s="19"/>
      <c r="B17" s="19"/>
      <c r="C17" s="20"/>
      <c r="D17" s="20"/>
      <c r="E17"/>
      <c r="F17"/>
      <c r="G17"/>
    </row>
    <row r="18" spans="1:7">
      <c r="A18" s="19"/>
      <c r="B18" s="19"/>
      <c r="C18" s="20"/>
      <c r="D18" s="20"/>
      <c r="E18"/>
      <c r="F18"/>
      <c r="G18"/>
    </row>
    <row r="19" spans="1:7">
      <c r="A19" s="19"/>
      <c r="B19" s="19"/>
      <c r="C19" s="20"/>
      <c r="D19" s="20"/>
      <c r="E19"/>
      <c r="F19"/>
      <c r="G19"/>
    </row>
    <row r="20" spans="1:7">
      <c r="A20" s="19"/>
      <c r="B20" s="19"/>
      <c r="C20" s="20"/>
      <c r="D20" s="20"/>
      <c r="E20"/>
      <c r="F20"/>
      <c r="G20"/>
    </row>
    <row r="21" spans="1:7">
      <c r="A21" s="19"/>
      <c r="B21" s="19"/>
      <c r="C21" s="20"/>
      <c r="D21" s="20"/>
      <c r="E21"/>
      <c r="F21"/>
      <c r="G21"/>
    </row>
    <row r="22" spans="1:7">
      <c r="A22" s="19"/>
      <c r="B22" s="19"/>
      <c r="C22" s="20"/>
      <c r="D22" s="20"/>
      <c r="E22"/>
      <c r="F22"/>
      <c r="G22"/>
    </row>
    <row r="23" spans="1:7">
      <c r="A23" s="19"/>
      <c r="B23" s="19"/>
      <c r="C23" s="20"/>
      <c r="D23" s="20"/>
      <c r="E23"/>
      <c r="F23"/>
      <c r="G23"/>
    </row>
    <row r="24" spans="1:7">
      <c r="A24" s="19"/>
      <c r="B24" s="19"/>
      <c r="C24" s="20"/>
      <c r="D24" s="20"/>
      <c r="E24"/>
      <c r="F24"/>
      <c r="G24"/>
    </row>
    <row r="25" spans="1:7">
      <c r="A25" s="19"/>
      <c r="B25" s="19"/>
      <c r="C25" s="20"/>
      <c r="D25" s="20"/>
      <c r="E25"/>
      <c r="F25"/>
      <c r="G25"/>
    </row>
    <row r="26" spans="1:7">
      <c r="A26" s="19"/>
      <c r="B26" s="19"/>
      <c r="C26" s="20"/>
      <c r="D26" s="20"/>
      <c r="E26"/>
      <c r="F26"/>
      <c r="G26"/>
    </row>
    <row r="27" spans="1:7">
      <c r="A27" s="19"/>
      <c r="B27" s="19"/>
      <c r="C27" s="20"/>
      <c r="D27" s="20"/>
      <c r="E27"/>
      <c r="F27"/>
      <c r="G27"/>
    </row>
    <row r="28" spans="1:7">
      <c r="A28" s="19"/>
      <c r="B28" s="19"/>
      <c r="C28" s="20"/>
      <c r="D28" s="20"/>
      <c r="E28"/>
      <c r="F28"/>
      <c r="G28"/>
    </row>
    <row r="29" spans="1:7">
      <c r="A29" s="19"/>
      <c r="B29" s="19"/>
      <c r="C29" s="20"/>
      <c r="D29" s="20"/>
      <c r="E29"/>
      <c r="F29"/>
      <c r="G29"/>
    </row>
    <row r="30" spans="1:7">
      <c r="A30" s="19"/>
      <c r="B30" s="19"/>
      <c r="C30" s="20"/>
      <c r="D30" s="20"/>
      <c r="E30"/>
      <c r="F30"/>
      <c r="G30"/>
    </row>
    <row r="31" spans="1:7">
      <c r="A31" s="19"/>
      <c r="B31" s="19"/>
      <c r="C31" s="20"/>
      <c r="D31" s="20"/>
      <c r="E31"/>
      <c r="F31"/>
      <c r="G31"/>
    </row>
    <row r="32" spans="1:7">
      <c r="A32" s="19"/>
      <c r="B32" s="19"/>
      <c r="C32" s="20"/>
      <c r="D32" s="20"/>
      <c r="E32"/>
      <c r="F32"/>
      <c r="G32"/>
    </row>
    <row r="33" spans="1:7">
      <c r="A33" s="19"/>
      <c r="B33" s="19"/>
      <c r="C33" s="20"/>
      <c r="D33" s="20"/>
      <c r="E33"/>
      <c r="F33"/>
      <c r="G33"/>
    </row>
    <row r="34" spans="1:7">
      <c r="A34" s="19"/>
      <c r="B34" s="19"/>
      <c r="C34" s="20"/>
      <c r="D34" s="20"/>
      <c r="E34"/>
      <c r="F34"/>
      <c r="G34"/>
    </row>
    <row r="35" spans="1:7">
      <c r="A35" s="19"/>
      <c r="B35" s="19"/>
      <c r="C35" s="20"/>
      <c r="D35" s="20"/>
      <c r="E35"/>
      <c r="F35"/>
      <c r="G35"/>
    </row>
    <row r="36" spans="1:7">
      <c r="A36" s="19"/>
      <c r="B36" s="19"/>
      <c r="C36" s="20"/>
      <c r="D36" s="20"/>
      <c r="E36"/>
      <c r="F36"/>
      <c r="G36"/>
    </row>
    <row r="37" spans="1:7">
      <c r="A37" s="19"/>
      <c r="B37" s="19"/>
      <c r="C37" s="20"/>
      <c r="D37" s="20"/>
      <c r="E37"/>
      <c r="F37"/>
      <c r="G37"/>
    </row>
    <row r="38" spans="1:7">
      <c r="A38" s="19"/>
      <c r="B38" s="19"/>
      <c r="C38" s="20"/>
      <c r="D38" s="20"/>
      <c r="E38"/>
      <c r="F38"/>
      <c r="G38"/>
    </row>
    <row r="39" spans="1:7">
      <c r="A39" s="19"/>
      <c r="B39" s="19"/>
      <c r="C39" s="20"/>
      <c r="D39" s="20"/>
      <c r="E39"/>
      <c r="F39"/>
      <c r="G39"/>
    </row>
    <row r="40" spans="1:7">
      <c r="A40" s="19"/>
      <c r="B40" s="19"/>
      <c r="C40" s="20"/>
      <c r="D40" s="20"/>
      <c r="E40"/>
      <c r="F40"/>
      <c r="G40"/>
    </row>
    <row r="41" spans="1:7">
      <c r="A41" s="19"/>
      <c r="B41" s="19"/>
      <c r="C41" s="20"/>
      <c r="D41" s="20"/>
      <c r="E41"/>
      <c r="F41"/>
      <c r="G41"/>
    </row>
    <row r="42" spans="1:7">
      <c r="A42" s="19"/>
      <c r="B42" s="19"/>
      <c r="C42" s="20"/>
      <c r="D42" s="20"/>
      <c r="E42"/>
      <c r="F42"/>
      <c r="G42"/>
    </row>
    <row r="43" spans="1:7">
      <c r="A43" s="19"/>
      <c r="B43" s="19"/>
      <c r="C43" s="20"/>
      <c r="D43" s="20"/>
      <c r="E43"/>
      <c r="F43"/>
      <c r="G43"/>
    </row>
    <row r="44" spans="1:7">
      <c r="A44" s="19"/>
      <c r="B44" s="19"/>
      <c r="C44" s="20"/>
      <c r="D44" s="20"/>
      <c r="E44"/>
      <c r="F44"/>
      <c r="G44"/>
    </row>
    <row r="45" spans="1:7">
      <c r="A45" s="19"/>
      <c r="B45" s="19"/>
      <c r="C45" s="20"/>
      <c r="D45" s="20"/>
      <c r="E45"/>
      <c r="F45"/>
      <c r="G45"/>
    </row>
    <row r="46" spans="1:7">
      <c r="A46" s="19"/>
      <c r="B46" s="19"/>
      <c r="C46" s="20"/>
      <c r="D46" s="20"/>
      <c r="E46"/>
      <c r="F46"/>
      <c r="G46"/>
    </row>
    <row r="47" spans="1:7">
      <c r="A47" s="19"/>
      <c r="B47" s="19"/>
      <c r="C47" s="20"/>
      <c r="D47" s="20"/>
      <c r="E47" s="20"/>
    </row>
    <row r="48" spans="1:7">
      <c r="A48" s="19"/>
      <c r="B48" s="19"/>
      <c r="C48" s="20"/>
      <c r="D48" s="20"/>
      <c r="E48" s="20"/>
    </row>
    <row r="49" spans="1:5">
      <c r="A49" s="19"/>
      <c r="B49" s="19"/>
      <c r="C49" s="20"/>
      <c r="D49" s="20"/>
      <c r="E49" s="20"/>
    </row>
    <row r="50" spans="1:5">
      <c r="A50" s="19"/>
      <c r="B50" s="19"/>
      <c r="C50" s="20"/>
      <c r="D50" s="20"/>
      <c r="E50" s="20"/>
    </row>
    <row r="51" spans="1:5">
      <c r="A51" s="21"/>
      <c r="B51" s="21"/>
      <c r="C51" s="20"/>
      <c r="D51" s="20"/>
      <c r="E51" s="20"/>
    </row>
    <row r="52" spans="1:5">
      <c r="A52" s="21"/>
      <c r="B52" s="21"/>
      <c r="C52" s="20"/>
      <c r="D52" s="20"/>
      <c r="E52" s="20"/>
    </row>
    <row r="53" spans="1:5">
      <c r="A53" s="21"/>
      <c r="B53" s="21"/>
      <c r="C53" s="20"/>
      <c r="D53" s="20"/>
      <c r="E53" s="20"/>
    </row>
    <row r="54" spans="1:5">
      <c r="A54" s="21"/>
      <c r="B54" s="21"/>
      <c r="C54" s="20"/>
      <c r="D54" s="20"/>
      <c r="E54" s="20"/>
    </row>
    <row r="55" spans="1:5">
      <c r="A55" s="21"/>
      <c r="B55" s="21"/>
      <c r="C55" s="20"/>
      <c r="D55" s="20"/>
      <c r="E55" s="20"/>
    </row>
    <row r="56" spans="1:5">
      <c r="A56" s="21"/>
      <c r="B56" s="21"/>
      <c r="C56" s="20"/>
      <c r="D56" s="20"/>
      <c r="E56" s="20"/>
    </row>
    <row r="57" spans="1:5">
      <c r="A57" s="21"/>
      <c r="B57" s="21"/>
      <c r="C57" s="20"/>
      <c r="D57" s="20"/>
      <c r="E57" s="20"/>
    </row>
    <row r="58" spans="1:5">
      <c r="A58" s="21"/>
      <c r="B58" s="21"/>
      <c r="C58" s="20"/>
      <c r="D58" s="20"/>
      <c r="E58" s="20"/>
    </row>
    <row r="59" spans="1:5">
      <c r="A59" s="21"/>
      <c r="B59" s="21"/>
      <c r="C59" s="20"/>
      <c r="D59" s="20"/>
      <c r="E59" s="20"/>
    </row>
    <row r="60" spans="1:5">
      <c r="A60" s="21"/>
      <c r="B60" s="21"/>
      <c r="C60" s="20"/>
      <c r="D60" s="20"/>
      <c r="E60" s="20"/>
    </row>
    <row r="61" spans="1:5">
      <c r="A61" s="21"/>
      <c r="B61" s="21"/>
      <c r="C61" s="20"/>
      <c r="D61" s="20"/>
      <c r="E61" s="20"/>
    </row>
    <row r="62" spans="1:5">
      <c r="A62" s="21"/>
      <c r="B62" s="21"/>
      <c r="C62" s="20"/>
      <c r="D62" s="20"/>
      <c r="E62" s="20"/>
    </row>
    <row r="63" spans="1:5">
      <c r="A63" s="21"/>
      <c r="B63" s="21"/>
      <c r="C63" s="20"/>
      <c r="D63" s="20"/>
      <c r="E63" s="20"/>
    </row>
    <row r="64" spans="1:5">
      <c r="A64" s="21"/>
      <c r="B64" s="21"/>
      <c r="C64" s="20"/>
      <c r="D64" s="20"/>
      <c r="E64" s="20"/>
    </row>
    <row r="65" spans="1:5">
      <c r="A65" s="21"/>
      <c r="B65" s="21"/>
      <c r="C65" s="20"/>
      <c r="D65" s="20"/>
      <c r="E65" s="20"/>
    </row>
    <row r="66" spans="1:5">
      <c r="A66" s="21"/>
      <c r="B66" s="21"/>
      <c r="C66" s="20"/>
      <c r="D66" s="20"/>
      <c r="E66" s="20"/>
    </row>
    <row r="67" spans="1:5">
      <c r="A67" s="21"/>
      <c r="B67" s="21"/>
      <c r="C67" s="20"/>
      <c r="D67" s="20"/>
      <c r="E67" s="20"/>
    </row>
    <row r="68" spans="1:5">
      <c r="A68" s="21"/>
      <c r="B68" s="21"/>
      <c r="C68" s="20"/>
      <c r="D68" s="20"/>
      <c r="E68" s="20"/>
    </row>
    <row r="69" spans="1:5">
      <c r="A69" s="21"/>
      <c r="B69" s="21"/>
      <c r="C69" s="20"/>
      <c r="D69" s="20"/>
      <c r="E69" s="20"/>
    </row>
    <row r="70" spans="1:5">
      <c r="A70" s="21"/>
      <c r="B70" s="21"/>
      <c r="C70" s="20"/>
      <c r="D70" s="20"/>
      <c r="E70" s="20"/>
    </row>
    <row r="71" spans="1:5">
      <c r="A71" s="21"/>
      <c r="B71" s="21"/>
      <c r="C71" s="20"/>
      <c r="D71" s="20"/>
      <c r="E71" s="20"/>
    </row>
    <row r="72" spans="1:5">
      <c r="A72" s="21"/>
      <c r="B72" s="21"/>
      <c r="C72" s="20"/>
      <c r="D72" s="20"/>
      <c r="E72" s="20"/>
    </row>
    <row r="73" spans="1:5">
      <c r="A73" s="21"/>
      <c r="B73" s="21"/>
      <c r="C73" s="20"/>
      <c r="D73" s="20"/>
      <c r="E73" s="20"/>
    </row>
    <row r="74" spans="1:5">
      <c r="A74" s="21"/>
      <c r="B74" s="21"/>
      <c r="C74" s="20"/>
      <c r="D74" s="20"/>
      <c r="E74" s="20"/>
    </row>
    <row r="75" spans="1:5">
      <c r="A75" s="21"/>
      <c r="B75" s="21"/>
      <c r="C75" s="20"/>
      <c r="D75" s="20"/>
      <c r="E75" s="20"/>
    </row>
    <row r="76" spans="1:5">
      <c r="A76" s="21"/>
      <c r="B76" s="21"/>
      <c r="C76" s="20"/>
      <c r="D76" s="20"/>
      <c r="E76" s="20"/>
    </row>
    <row r="77" spans="1:5">
      <c r="A77" s="21"/>
      <c r="B77" s="21"/>
      <c r="C77" s="20"/>
      <c r="D77" s="20"/>
      <c r="E77" s="20"/>
    </row>
    <row r="78" spans="1:5">
      <c r="A78" s="21"/>
      <c r="B78" s="21"/>
      <c r="C78" s="20"/>
      <c r="D78" s="20"/>
      <c r="E78" s="20"/>
    </row>
    <row r="79" spans="1:5">
      <c r="A79" s="21"/>
      <c r="B79" s="21"/>
      <c r="C79" s="20"/>
      <c r="D79" s="20"/>
      <c r="E79" s="20"/>
    </row>
    <row r="80" spans="1:5">
      <c r="A80" s="21"/>
      <c r="B80" s="21"/>
      <c r="C80" s="20"/>
      <c r="D80" s="20"/>
      <c r="E80" s="20"/>
    </row>
    <row r="81" spans="1:5">
      <c r="A81" s="21"/>
      <c r="B81" s="21"/>
      <c r="C81" s="20"/>
      <c r="D81" s="20"/>
      <c r="E81" s="20"/>
    </row>
    <row r="82" spans="1:5">
      <c r="A82" s="21"/>
      <c r="B82" s="21"/>
      <c r="C82" s="20"/>
      <c r="D82" s="20"/>
      <c r="E82" s="20"/>
    </row>
    <row r="83" spans="1:5">
      <c r="A83" s="21"/>
      <c r="B83" s="21"/>
      <c r="C83" s="20"/>
      <c r="D83" s="20"/>
      <c r="E83" s="20"/>
    </row>
    <row r="84" spans="1:5">
      <c r="A84" s="21"/>
      <c r="B84" s="21"/>
      <c r="C84" s="20"/>
      <c r="D84" s="20"/>
      <c r="E84" s="20"/>
    </row>
    <row r="85" spans="1:5">
      <c r="A85" s="21"/>
      <c r="B85" s="21"/>
      <c r="C85" s="20"/>
      <c r="D85" s="20"/>
      <c r="E85" s="20"/>
    </row>
    <row r="86" spans="1:5">
      <c r="A86" s="21"/>
      <c r="B86" s="21"/>
      <c r="C86" s="20"/>
      <c r="D86" s="20"/>
      <c r="E86" s="20"/>
    </row>
    <row r="87" spans="1:5">
      <c r="A87" s="21"/>
      <c r="B87" s="21"/>
      <c r="C87" s="20"/>
      <c r="D87" s="20"/>
      <c r="E87" s="20"/>
    </row>
    <row r="88" spans="1:5">
      <c r="A88" s="21"/>
      <c r="B88" s="21"/>
      <c r="C88" s="20"/>
      <c r="D88" s="20"/>
      <c r="E88" s="20"/>
    </row>
    <row r="89" spans="1:5">
      <c r="A89" s="21"/>
      <c r="B89" s="21"/>
      <c r="C89" s="20"/>
      <c r="D89" s="20"/>
      <c r="E89" s="20"/>
    </row>
    <row r="90" spans="1:5">
      <c r="A90" s="21"/>
      <c r="B90" s="21"/>
      <c r="C90" s="20"/>
      <c r="D90" s="20"/>
      <c r="E90" s="20"/>
    </row>
    <row r="91" spans="1:5">
      <c r="A91" s="21"/>
      <c r="B91" s="21"/>
      <c r="C91" s="20"/>
      <c r="D91" s="20"/>
      <c r="E91" s="20"/>
    </row>
    <row r="92" spans="1:5">
      <c r="A92" s="21"/>
      <c r="B92" s="21"/>
      <c r="C92" s="20"/>
      <c r="D92" s="20"/>
      <c r="E92" s="20"/>
    </row>
    <row r="93" spans="1:5">
      <c r="A93" s="21"/>
      <c r="B93" s="21"/>
      <c r="C93" s="20"/>
      <c r="D93" s="20"/>
      <c r="E93" s="20"/>
    </row>
    <row r="94" spans="1:5">
      <c r="A94" s="21"/>
      <c r="B94" s="21"/>
      <c r="C94" s="20"/>
      <c r="D94" s="20"/>
      <c r="E94" s="20"/>
    </row>
    <row r="95" spans="1:5">
      <c r="A95" s="21"/>
      <c r="B95" s="21"/>
      <c r="C95" s="20"/>
      <c r="D95" s="20"/>
      <c r="E95" s="20"/>
    </row>
    <row r="96" spans="1:5">
      <c r="A96" s="21"/>
      <c r="B96" s="21"/>
      <c r="C96" s="20"/>
      <c r="D96" s="20"/>
      <c r="E96" s="20"/>
    </row>
    <row r="97" spans="1:5">
      <c r="A97" s="21"/>
      <c r="B97" s="21"/>
      <c r="C97" s="20"/>
      <c r="D97" s="20"/>
      <c r="E97" s="20"/>
    </row>
    <row r="98" spans="1:5">
      <c r="A98" s="21"/>
      <c r="B98" s="21"/>
      <c r="C98" s="20"/>
      <c r="D98" s="20"/>
      <c r="E98" s="20"/>
    </row>
    <row r="99" spans="1:5">
      <c r="A99" s="21"/>
      <c r="B99" s="21"/>
      <c r="C99" s="20"/>
      <c r="D99" s="20"/>
      <c r="E99" s="20"/>
    </row>
    <row r="100" spans="1:5">
      <c r="A100" s="21"/>
      <c r="B100" s="21"/>
      <c r="C100" s="20"/>
      <c r="D100" s="20"/>
      <c r="E100" s="20"/>
    </row>
    <row r="101" spans="1:5">
      <c r="A101" s="21"/>
      <c r="B101" s="21"/>
      <c r="C101" s="20"/>
      <c r="D101" s="20"/>
      <c r="E101" s="20"/>
    </row>
    <row r="102" spans="1:5">
      <c r="A102" s="21"/>
      <c r="B102" s="21"/>
      <c r="C102" s="20"/>
      <c r="D102" s="20"/>
      <c r="E102" s="20"/>
    </row>
    <row r="103" spans="1:5">
      <c r="A103" s="21"/>
      <c r="B103" s="21"/>
      <c r="C103" s="20"/>
      <c r="D103" s="20"/>
      <c r="E103" s="20"/>
    </row>
    <row r="104" spans="1:5">
      <c r="A104" s="21"/>
      <c r="B104" s="21"/>
      <c r="C104" s="20"/>
      <c r="D104" s="20"/>
      <c r="E104" s="20"/>
    </row>
    <row r="105" spans="1:5">
      <c r="A105" s="21"/>
      <c r="B105" s="21"/>
      <c r="C105" s="20"/>
      <c r="D105" s="20"/>
      <c r="E105" s="20"/>
    </row>
    <row r="106" spans="1:5">
      <c r="A106" s="21"/>
      <c r="B106" s="21"/>
      <c r="C106" s="20"/>
      <c r="D106" s="20"/>
      <c r="E106" s="20"/>
    </row>
    <row r="107" spans="1:5">
      <c r="A107" s="21"/>
      <c r="B107" s="21"/>
      <c r="C107" s="20"/>
      <c r="D107" s="20"/>
      <c r="E107" s="20"/>
    </row>
    <row r="108" spans="1:5">
      <c r="A108" s="21"/>
      <c r="B108" s="21"/>
      <c r="C108" s="20"/>
      <c r="D108" s="20"/>
      <c r="E108" s="20"/>
    </row>
    <row r="109" spans="1:5">
      <c r="A109" s="21"/>
      <c r="B109" s="21"/>
      <c r="C109" s="20"/>
      <c r="D109" s="20"/>
      <c r="E109" s="20"/>
    </row>
    <row r="110" spans="1:5">
      <c r="A110" s="21"/>
      <c r="B110" s="21"/>
      <c r="C110" s="20"/>
      <c r="D110" s="20"/>
      <c r="E110" s="20"/>
    </row>
    <row r="111" spans="1:5">
      <c r="A111" s="21"/>
      <c r="B111" s="21"/>
      <c r="C111" s="20"/>
      <c r="D111" s="20"/>
      <c r="E111" s="20"/>
    </row>
    <row r="112" spans="1:5">
      <c r="A112" s="21"/>
      <c r="B112" s="21"/>
      <c r="C112" s="20"/>
      <c r="D112" s="20"/>
      <c r="E112" s="20"/>
    </row>
    <row r="113" spans="1:5">
      <c r="A113" s="21"/>
      <c r="B113" s="21"/>
      <c r="C113" s="20"/>
      <c r="D113" s="20"/>
      <c r="E113" s="20"/>
    </row>
    <row r="114" spans="1:5">
      <c r="A114" s="21"/>
      <c r="B114" s="21"/>
      <c r="C114" s="20"/>
      <c r="D114" s="20"/>
      <c r="E114" s="20"/>
    </row>
    <row r="115" spans="1:5">
      <c r="A115" s="21"/>
      <c r="B115" s="21"/>
      <c r="C115" s="20"/>
      <c r="D115" s="20"/>
      <c r="E115" s="20"/>
    </row>
    <row r="116" spans="1:5">
      <c r="A116" s="21"/>
      <c r="B116" s="21"/>
      <c r="C116" s="20"/>
      <c r="D116" s="20"/>
      <c r="E116" s="20"/>
    </row>
    <row r="117" spans="1:5">
      <c r="A117" s="21"/>
      <c r="B117" s="21"/>
      <c r="C117" s="20"/>
      <c r="D117" s="20"/>
      <c r="E117" s="20"/>
    </row>
    <row r="118" spans="1:5">
      <c r="A118" s="21"/>
      <c r="B118" s="21"/>
      <c r="C118" s="20"/>
      <c r="D118" s="20"/>
      <c r="E118" s="20"/>
    </row>
    <row r="119" spans="1:5">
      <c r="A119" s="21"/>
      <c r="B119" s="21"/>
      <c r="C119" s="20"/>
      <c r="D119" s="20"/>
      <c r="E119" s="20"/>
    </row>
    <row r="120" spans="1:5">
      <c r="A120" s="21"/>
      <c r="B120" s="21"/>
      <c r="C120" s="20"/>
      <c r="D120" s="20"/>
      <c r="E120" s="20"/>
    </row>
    <row r="121" spans="1:5">
      <c r="A121" s="21"/>
      <c r="B121" s="21"/>
      <c r="C121" s="20"/>
      <c r="D121" s="20"/>
      <c r="E121" s="20"/>
    </row>
    <row r="122" spans="1:5">
      <c r="A122" s="21"/>
      <c r="B122" s="21"/>
      <c r="C122" s="20"/>
      <c r="D122" s="20"/>
      <c r="E122" s="20"/>
    </row>
    <row r="123" spans="1:5">
      <c r="A123" s="21"/>
      <c r="B123" s="21"/>
      <c r="C123" s="20"/>
      <c r="D123" s="20"/>
      <c r="E123" s="20"/>
    </row>
    <row r="124" spans="1:5">
      <c r="A124" s="21"/>
      <c r="B124" s="21"/>
      <c r="C124" s="20"/>
      <c r="D124" s="20"/>
      <c r="E124" s="20"/>
    </row>
    <row r="125" spans="1:5">
      <c r="A125" s="21"/>
      <c r="B125" s="21"/>
      <c r="C125" s="20"/>
      <c r="D125" s="20"/>
      <c r="E125" s="20"/>
    </row>
    <row r="126" spans="1:5">
      <c r="A126" s="21"/>
      <c r="B126" s="21"/>
      <c r="C126" s="20"/>
      <c r="D126" s="20"/>
      <c r="E126" s="20"/>
    </row>
    <row r="127" spans="1:5">
      <c r="A127" s="21"/>
      <c r="B127" s="21"/>
      <c r="C127" s="20"/>
      <c r="D127" s="20"/>
      <c r="E127" s="20"/>
    </row>
    <row r="128" spans="1:5">
      <c r="A128" s="21"/>
      <c r="B128" s="21"/>
      <c r="C128" s="20"/>
      <c r="D128" s="20"/>
      <c r="E128" s="20"/>
    </row>
    <row r="129" spans="1:5">
      <c r="A129" s="21"/>
      <c r="B129" s="21"/>
      <c r="C129" s="20"/>
      <c r="D129" s="20"/>
      <c r="E129" s="20"/>
    </row>
    <row r="130" spans="1:5">
      <c r="A130" s="21"/>
      <c r="B130" s="21"/>
      <c r="C130" s="20"/>
      <c r="D130" s="20"/>
      <c r="E130" s="20"/>
    </row>
    <row r="131" spans="1:5">
      <c r="A131" s="21"/>
      <c r="B131" s="21"/>
      <c r="C131" s="20"/>
      <c r="D131" s="20"/>
      <c r="E131" s="20"/>
    </row>
    <row r="132" spans="1:5">
      <c r="A132" s="21"/>
      <c r="B132" s="21"/>
      <c r="C132" s="20"/>
      <c r="D132" s="20"/>
      <c r="E132" s="20"/>
    </row>
    <row r="133" spans="1:5">
      <c r="A133" s="21"/>
      <c r="B133" s="21"/>
      <c r="C133" s="20"/>
      <c r="D133" s="20"/>
      <c r="E133" s="20"/>
    </row>
    <row r="134" spans="1:5">
      <c r="A134" s="21"/>
      <c r="B134" s="21"/>
      <c r="C134" s="20"/>
      <c r="D134" s="20"/>
      <c r="E134" s="20"/>
    </row>
    <row r="135" spans="1:5">
      <c r="A135" s="21"/>
      <c r="B135" s="21"/>
      <c r="C135" s="20"/>
      <c r="D135" s="20"/>
      <c r="E135" s="20"/>
    </row>
    <row r="136" spans="1:5">
      <c r="A136" s="21"/>
      <c r="B136" s="21"/>
      <c r="C136" s="20"/>
      <c r="D136" s="20"/>
      <c r="E136" s="20"/>
    </row>
    <row r="137" spans="1:5">
      <c r="A137" s="21"/>
      <c r="B137" s="21"/>
      <c r="C137" s="20"/>
      <c r="D137" s="20"/>
      <c r="E137" s="20"/>
    </row>
    <row r="138" spans="1:5">
      <c r="A138" s="21"/>
      <c r="B138" s="21"/>
      <c r="C138" s="20"/>
      <c r="D138" s="20"/>
      <c r="E138" s="20"/>
    </row>
    <row r="139" spans="1:5">
      <c r="A139" s="21"/>
      <c r="B139" s="21"/>
      <c r="C139" s="20"/>
      <c r="D139" s="20"/>
      <c r="E139" s="20"/>
    </row>
    <row r="140" spans="1:5">
      <c r="A140" s="21"/>
      <c r="B140" s="21"/>
      <c r="C140" s="20"/>
      <c r="D140" s="20"/>
      <c r="E140" s="20"/>
    </row>
    <row r="141" spans="1:5">
      <c r="A141" s="21"/>
      <c r="B141" s="21"/>
      <c r="C141" s="20"/>
      <c r="D141" s="20"/>
      <c r="E141" s="20"/>
    </row>
    <row r="142" spans="1:5">
      <c r="A142" s="21"/>
      <c r="B142" s="21"/>
      <c r="C142" s="20"/>
      <c r="D142" s="20"/>
      <c r="E142" s="20"/>
    </row>
    <row r="143" spans="1:5">
      <c r="A143" s="21"/>
      <c r="B143" s="21"/>
      <c r="C143" s="20"/>
      <c r="D143" s="20"/>
      <c r="E143" s="20"/>
    </row>
    <row r="144" spans="1:5">
      <c r="A144" s="21"/>
      <c r="B144" s="21"/>
      <c r="C144" s="20"/>
      <c r="D144" s="20"/>
      <c r="E144" s="20"/>
    </row>
    <row r="145" spans="1:5">
      <c r="A145" s="21"/>
      <c r="B145" s="21"/>
      <c r="C145" s="20"/>
      <c r="D145" s="20"/>
      <c r="E145" s="20"/>
    </row>
    <row r="146" spans="1:5">
      <c r="A146" s="21"/>
      <c r="B146" s="21"/>
      <c r="C146" s="20"/>
      <c r="D146" s="20"/>
      <c r="E146" s="20"/>
    </row>
    <row r="147" spans="1:5">
      <c r="A147" s="21"/>
      <c r="B147" s="21"/>
      <c r="C147" s="20"/>
      <c r="D147" s="20"/>
      <c r="E147" s="20"/>
    </row>
    <row r="148" spans="1:5">
      <c r="A148" s="21"/>
      <c r="B148" s="21"/>
      <c r="C148" s="20"/>
      <c r="D148" s="20"/>
      <c r="E148" s="20"/>
    </row>
    <row r="149" spans="1:5">
      <c r="A149" s="21"/>
      <c r="B149" s="21"/>
      <c r="C149" s="20"/>
      <c r="D149" s="20"/>
      <c r="E149" s="20"/>
    </row>
    <row r="150" spans="1:5">
      <c r="A150" s="21"/>
      <c r="B150" s="21"/>
      <c r="C150" s="20"/>
      <c r="D150" s="20"/>
      <c r="E150" s="20"/>
    </row>
    <row r="151" spans="1:5">
      <c r="A151" s="21"/>
      <c r="B151" s="21"/>
      <c r="C151" s="20"/>
      <c r="D151" s="20"/>
      <c r="E151" s="20"/>
    </row>
    <row r="152" spans="1:5">
      <c r="A152" s="21"/>
      <c r="B152" s="21"/>
      <c r="C152" s="20"/>
      <c r="D152" s="20"/>
      <c r="E152" s="20"/>
    </row>
    <row r="153" spans="1:5">
      <c r="A153" s="21"/>
      <c r="B153" s="21"/>
      <c r="C153" s="20"/>
      <c r="D153" s="20"/>
      <c r="E153" s="20"/>
    </row>
    <row r="154" spans="1:5">
      <c r="A154" s="21"/>
      <c r="B154" s="21"/>
      <c r="C154" s="20"/>
      <c r="D154" s="20"/>
      <c r="E154" s="20"/>
    </row>
    <row r="155" spans="1:5">
      <c r="A155" s="21"/>
      <c r="B155" s="21"/>
      <c r="C155" s="20"/>
      <c r="D155" s="20"/>
      <c r="E155" s="20"/>
    </row>
    <row r="156" spans="1:5">
      <c r="A156" s="21"/>
      <c r="B156" s="21"/>
      <c r="C156" s="20"/>
      <c r="D156" s="20"/>
      <c r="E156" s="20"/>
    </row>
    <row r="157" spans="1:5">
      <c r="A157" s="21"/>
      <c r="B157" s="21"/>
      <c r="C157" s="20"/>
      <c r="D157" s="20"/>
      <c r="E157" s="20"/>
    </row>
    <row r="158" spans="1:5">
      <c r="A158" s="21"/>
      <c r="B158" s="21"/>
      <c r="C158" s="20"/>
      <c r="D158" s="20"/>
      <c r="E158" s="20"/>
    </row>
    <row r="159" spans="1:5">
      <c r="A159" s="21"/>
      <c r="B159" s="21"/>
      <c r="C159" s="20"/>
      <c r="D159" s="20"/>
      <c r="E159" s="20"/>
    </row>
    <row r="160" spans="1:5">
      <c r="A160" s="21"/>
      <c r="B160" s="21"/>
      <c r="C160" s="20"/>
      <c r="D160" s="20"/>
      <c r="E160" s="20"/>
    </row>
    <row r="161" spans="1:5">
      <c r="A161" s="21"/>
      <c r="B161" s="21"/>
      <c r="C161" s="20"/>
      <c r="D161" s="20"/>
      <c r="E161" s="20"/>
    </row>
    <row r="162" spans="1:5">
      <c r="A162" s="21"/>
      <c r="B162" s="21"/>
      <c r="C162" s="20"/>
      <c r="D162" s="20"/>
      <c r="E162" s="20"/>
    </row>
    <row r="163" spans="1:5">
      <c r="A163" s="21"/>
      <c r="B163" s="21"/>
      <c r="C163" s="20"/>
      <c r="D163" s="20"/>
      <c r="E163" s="20"/>
    </row>
    <row r="164" spans="1:5">
      <c r="A164" s="21"/>
      <c r="B164" s="21"/>
      <c r="C164" s="20"/>
      <c r="D164" s="20"/>
      <c r="E164" s="20"/>
    </row>
    <row r="165" spans="1:5">
      <c r="A165" s="21"/>
      <c r="B165" s="21"/>
      <c r="C165" s="20"/>
      <c r="D165" s="20"/>
      <c r="E165" s="20"/>
    </row>
    <row r="166" spans="1:5">
      <c r="A166" s="21"/>
      <c r="B166" s="21"/>
      <c r="C166" s="20"/>
      <c r="D166" s="20"/>
      <c r="E166" s="20"/>
    </row>
    <row r="167" spans="1:5">
      <c r="A167" s="21"/>
      <c r="B167" s="21"/>
      <c r="C167" s="20"/>
      <c r="D167" s="20"/>
      <c r="E167" s="20"/>
    </row>
    <row r="168" spans="1:5">
      <c r="A168" s="21"/>
      <c r="B168" s="21"/>
      <c r="C168" s="20"/>
      <c r="D168" s="20"/>
      <c r="E168" s="20"/>
    </row>
    <row r="169" spans="1:5">
      <c r="A169" s="21"/>
      <c r="B169" s="21"/>
      <c r="C169" s="20"/>
      <c r="D169" s="20"/>
      <c r="E169" s="20"/>
    </row>
    <row r="170" spans="1:5">
      <c r="A170" s="21"/>
      <c r="B170" s="21"/>
      <c r="C170" s="20"/>
      <c r="D170" s="20"/>
      <c r="E170" s="20"/>
    </row>
    <row r="171" spans="1:5">
      <c r="A171" s="21"/>
      <c r="B171" s="21"/>
      <c r="C171" s="20"/>
      <c r="D171" s="20"/>
      <c r="E171" s="20"/>
    </row>
    <row r="172" spans="1:5">
      <c r="A172" s="21"/>
      <c r="B172" s="21"/>
      <c r="C172" s="20"/>
      <c r="D172" s="20"/>
      <c r="E172" s="20"/>
    </row>
    <row r="173" spans="1:5">
      <c r="A173" s="21"/>
      <c r="B173" s="21"/>
      <c r="C173" s="20"/>
      <c r="D173" s="20"/>
      <c r="E173" s="20"/>
    </row>
    <row r="174" spans="1:5">
      <c r="A174" s="21"/>
      <c r="B174" s="21"/>
      <c r="C174" s="20"/>
      <c r="D174" s="20"/>
      <c r="E174" s="20"/>
    </row>
    <row r="175" spans="1:5">
      <c r="A175" s="21"/>
      <c r="B175" s="21"/>
      <c r="C175" s="20"/>
      <c r="D175" s="20"/>
      <c r="E175" s="20"/>
    </row>
    <row r="176" spans="1:5">
      <c r="A176" s="21"/>
      <c r="B176" s="21"/>
      <c r="C176" s="20"/>
      <c r="D176" s="20"/>
      <c r="E176" s="20"/>
    </row>
    <row r="177" spans="1:5">
      <c r="A177" s="21"/>
      <c r="B177" s="21"/>
      <c r="C177" s="20"/>
      <c r="D177" s="20"/>
      <c r="E177" s="20"/>
    </row>
    <row r="178" spans="1:5">
      <c r="A178" s="21"/>
      <c r="B178" s="21"/>
      <c r="C178" s="20"/>
      <c r="D178" s="20"/>
      <c r="E178" s="20"/>
    </row>
    <row r="179" spans="1:5">
      <c r="A179" s="21"/>
      <c r="B179" s="21"/>
      <c r="C179" s="20"/>
      <c r="D179" s="20"/>
      <c r="E179" s="20"/>
    </row>
    <row r="180" spans="1:5">
      <c r="A180" s="21"/>
      <c r="B180" s="21"/>
      <c r="C180" s="20"/>
      <c r="D180" s="20"/>
      <c r="E180" s="20"/>
    </row>
    <row r="181" spans="1:5">
      <c r="A181" s="21"/>
      <c r="B181" s="21"/>
      <c r="C181" s="20"/>
      <c r="D181" s="20"/>
      <c r="E181" s="20"/>
    </row>
    <row r="182" spans="1:5">
      <c r="A182" s="21"/>
      <c r="B182" s="21"/>
      <c r="C182" s="20"/>
      <c r="D182" s="20"/>
      <c r="E182" s="20"/>
    </row>
    <row r="183" spans="1:5">
      <c r="A183" s="21"/>
      <c r="B183" s="21"/>
      <c r="C183" s="20"/>
      <c r="D183" s="20"/>
      <c r="E183" s="20"/>
    </row>
    <row r="184" spans="1:5">
      <c r="A184" s="21"/>
      <c r="B184" s="21"/>
      <c r="C184" s="20"/>
      <c r="D184" s="20"/>
      <c r="E184" s="20"/>
    </row>
    <row r="185" spans="1:5">
      <c r="A185" s="21"/>
      <c r="B185" s="21"/>
      <c r="C185" s="20"/>
      <c r="D185" s="20"/>
      <c r="E185" s="20"/>
    </row>
    <row r="186" spans="1:5">
      <c r="A186" s="21"/>
      <c r="B186" s="21"/>
      <c r="C186" s="20"/>
      <c r="D186" s="20"/>
      <c r="E186" s="20"/>
    </row>
    <row r="187" spans="1:5">
      <c r="A187" s="21"/>
      <c r="B187" s="21"/>
      <c r="C187" s="20"/>
      <c r="D187" s="20"/>
      <c r="E187" s="20"/>
    </row>
    <row r="188" spans="1:5">
      <c r="A188" s="21"/>
      <c r="B188" s="21"/>
      <c r="C188" s="20"/>
      <c r="D188" s="20"/>
      <c r="E188" s="20"/>
    </row>
    <row r="189" spans="1:5">
      <c r="A189" s="21"/>
      <c r="B189" s="21"/>
      <c r="C189" s="20"/>
      <c r="D189" s="20"/>
      <c r="E189" s="20"/>
    </row>
    <row r="190" spans="1:5">
      <c r="A190" s="21"/>
      <c r="B190" s="21"/>
      <c r="C190" s="20"/>
      <c r="D190" s="20"/>
      <c r="E190" s="20"/>
    </row>
    <row r="191" spans="1:5">
      <c r="A191" s="21"/>
      <c r="B191" s="21"/>
      <c r="C191" s="20"/>
      <c r="D191" s="20"/>
      <c r="E191" s="20"/>
    </row>
    <row r="192" spans="1:5">
      <c r="A192" s="21"/>
      <c r="B192" s="21"/>
      <c r="C192" s="20"/>
      <c r="D192" s="20"/>
      <c r="E192" s="20"/>
    </row>
    <row r="193" spans="1:5">
      <c r="A193" s="21"/>
      <c r="B193" s="21"/>
      <c r="C193" s="20"/>
      <c r="D193" s="20"/>
      <c r="E193" s="20"/>
    </row>
    <row r="194" spans="1:5">
      <c r="A194" s="21"/>
      <c r="B194" s="21"/>
      <c r="C194" s="20"/>
      <c r="D194" s="20"/>
      <c r="E194" s="20"/>
    </row>
    <row r="195" spans="1:5">
      <c r="A195" s="21"/>
      <c r="B195" s="21"/>
      <c r="C195" s="20"/>
      <c r="D195" s="20"/>
      <c r="E195" s="20"/>
    </row>
    <row r="196" spans="1:5">
      <c r="A196" s="21"/>
      <c r="B196" s="21"/>
      <c r="C196" s="20"/>
      <c r="D196" s="20"/>
      <c r="E196" s="20"/>
    </row>
    <row r="197" spans="1:5">
      <c r="A197" s="21"/>
      <c r="B197" s="21"/>
      <c r="C197" s="20"/>
      <c r="D197" s="20"/>
      <c r="E197" s="20"/>
    </row>
    <row r="198" spans="1:5">
      <c r="A198" s="21"/>
      <c r="B198" s="21"/>
      <c r="C198" s="20"/>
      <c r="D198" s="20"/>
      <c r="E198" s="20"/>
    </row>
    <row r="199" spans="1:5">
      <c r="A199" s="21"/>
      <c r="B199" s="21"/>
      <c r="C199" s="20"/>
      <c r="D199" s="20"/>
      <c r="E199" s="20"/>
    </row>
    <row r="418" spans="295:297">
      <c r="KI418" s="16" t="s">
        <v>235</v>
      </c>
      <c r="KJ418" s="16" t="s">
        <v>236</v>
      </c>
      <c r="KK418" s="16" t="s">
        <v>237</v>
      </c>
    </row>
    <row r="419" spans="295:297">
      <c r="KJ419" s="16" t="s">
        <v>238</v>
      </c>
      <c r="KK419" s="16">
        <v>44.17</v>
      </c>
    </row>
    <row r="420" spans="295:297">
      <c r="KJ420" s="16" t="s">
        <v>239</v>
      </c>
      <c r="KK420" s="16">
        <v>55.83</v>
      </c>
    </row>
  </sheetData>
  <mergeCells count="2">
    <mergeCell ref="G3:I3"/>
    <mergeCell ref="A5:E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FCF45-3DB5-404A-9408-2F89ABDE98CC}">
  <dimension ref="A1:K20"/>
  <sheetViews>
    <sheetView showGridLines="0" zoomScale="61" workbookViewId="0">
      <selection activeCell="L13" sqref="L13"/>
    </sheetView>
  </sheetViews>
  <sheetFormatPr defaultColWidth="8.85546875" defaultRowHeight="25.15"/>
  <cols>
    <col min="1" max="2" width="8.85546875" style="37"/>
    <col min="3" max="3" width="12.7109375" style="37" bestFit="1" customWidth="1"/>
    <col min="4" max="4" width="15.85546875" style="37" customWidth="1"/>
    <col min="5" max="6" width="17.140625" style="37" customWidth="1"/>
    <col min="7" max="7" width="8.85546875" style="37"/>
    <col min="8" max="8" width="35.85546875" style="37" bestFit="1" customWidth="1"/>
    <col min="9" max="9" width="8.85546875" style="37"/>
    <col min="10" max="10" width="3.7109375" style="37" customWidth="1"/>
    <col min="11" max="11" width="14.42578125" style="37" customWidth="1"/>
    <col min="12" max="16384" width="8.85546875" style="37"/>
  </cols>
  <sheetData>
    <row r="1" spans="1:11">
      <c r="A1" s="101" t="e" vm="1">
        <v>#VALUE!</v>
      </c>
      <c r="B1" s="101"/>
      <c r="C1" s="101"/>
      <c r="D1" s="30"/>
      <c r="E1" s="30"/>
      <c r="F1" s="30"/>
      <c r="G1" s="30"/>
      <c r="H1" s="30"/>
      <c r="I1" s="30"/>
      <c r="J1" s="30"/>
      <c r="K1" s="30"/>
    </row>
    <row r="2" spans="1:11">
      <c r="A2" s="101"/>
      <c r="B2" s="101"/>
      <c r="C2" s="101"/>
      <c r="D2" s="30"/>
      <c r="E2" s="30"/>
      <c r="F2" s="30"/>
      <c r="G2" s="30"/>
      <c r="H2" s="30"/>
      <c r="I2" s="30"/>
      <c r="J2" s="30"/>
      <c r="K2" s="30"/>
    </row>
    <row r="3" spans="1:11">
      <c r="A3" s="101"/>
      <c r="B3" s="101"/>
      <c r="C3" s="101"/>
      <c r="D3" s="30"/>
      <c r="E3" s="30"/>
      <c r="F3" s="30"/>
      <c r="G3" s="30"/>
      <c r="H3" s="30"/>
      <c r="I3" s="30"/>
      <c r="J3" s="30"/>
      <c r="K3" s="30"/>
    </row>
    <row r="5" spans="1:11">
      <c r="A5" s="30"/>
      <c r="B5" s="102" t="s">
        <v>2</v>
      </c>
      <c r="C5" s="102"/>
      <c r="D5" s="102"/>
      <c r="E5" s="102"/>
      <c r="F5" s="102"/>
      <c r="G5" s="102"/>
      <c r="H5" s="102"/>
      <c r="I5" s="102"/>
      <c r="J5" s="30"/>
      <c r="K5" s="103">
        <v>1</v>
      </c>
    </row>
    <row r="6" spans="1:11" ht="45">
      <c r="A6" s="30"/>
      <c r="B6" s="102"/>
      <c r="C6" s="102"/>
      <c r="D6" s="102"/>
      <c r="E6" s="102"/>
      <c r="F6" s="102"/>
      <c r="G6" s="102"/>
      <c r="H6" s="102"/>
      <c r="I6" s="102"/>
      <c r="J6" s="36" t="s">
        <v>3</v>
      </c>
      <c r="K6" s="103"/>
    </row>
    <row r="7" spans="1:11">
      <c r="A7" s="30"/>
      <c r="B7" s="102"/>
      <c r="C7" s="102"/>
      <c r="D7" s="102"/>
      <c r="E7" s="102"/>
      <c r="F7" s="102"/>
      <c r="G7" s="102"/>
      <c r="H7" s="102"/>
      <c r="I7" s="102"/>
      <c r="J7" s="30"/>
      <c r="K7" s="103"/>
    </row>
    <row r="8" spans="1:11" ht="8.4499999999999993" customHeight="1">
      <c r="A8" s="30"/>
      <c r="B8" s="102"/>
      <c r="C8" s="102"/>
      <c r="D8" s="102"/>
      <c r="E8" s="102"/>
      <c r="F8" s="102"/>
      <c r="G8" s="102"/>
      <c r="H8" s="102"/>
      <c r="I8" s="102"/>
      <c r="J8" s="30"/>
      <c r="K8" s="103"/>
    </row>
    <row r="11" spans="1:11">
      <c r="A11" s="30"/>
      <c r="B11" s="30"/>
      <c r="C11" s="32"/>
      <c r="D11" s="32"/>
      <c r="E11" s="30"/>
      <c r="F11" s="30"/>
      <c r="G11" s="32" t="s">
        <v>4</v>
      </c>
      <c r="H11" s="30"/>
      <c r="I11" s="30"/>
      <c r="J11" s="30"/>
      <c r="K11" s="30"/>
    </row>
    <row r="12" spans="1:11" ht="33">
      <c r="A12" s="30"/>
      <c r="B12" s="34" t="s">
        <v>5</v>
      </c>
      <c r="C12" s="33"/>
      <c r="D12" s="33"/>
      <c r="E12" s="30"/>
      <c r="F12" s="30"/>
      <c r="G12" s="30"/>
      <c r="H12" s="30" t="s">
        <v>6</v>
      </c>
      <c r="I12" s="30"/>
      <c r="J12" s="30"/>
      <c r="K12" s="30"/>
    </row>
    <row r="13" spans="1:11" ht="33">
      <c r="A13" s="30"/>
      <c r="B13" s="35" t="s">
        <v>7</v>
      </c>
      <c r="C13" s="33"/>
      <c r="D13" s="33"/>
      <c r="E13" s="30"/>
      <c r="F13" s="30"/>
      <c r="G13" s="30"/>
      <c r="H13" s="30" t="s">
        <v>8</v>
      </c>
      <c r="I13" s="30"/>
      <c r="J13" s="30"/>
      <c r="K13" s="30"/>
    </row>
    <row r="14" spans="1:11">
      <c r="A14" s="30"/>
      <c r="B14" s="30"/>
      <c r="C14" s="30"/>
      <c r="D14" s="30"/>
      <c r="E14" s="30"/>
      <c r="F14" s="30"/>
      <c r="G14" s="30"/>
      <c r="H14" s="30" t="s">
        <v>9</v>
      </c>
      <c r="I14" s="30"/>
      <c r="J14" s="30"/>
      <c r="K14" s="30"/>
    </row>
    <row r="15" spans="1:11">
      <c r="A15" s="30"/>
      <c r="B15" s="104" t="s">
        <v>10</v>
      </c>
      <c r="C15" s="105">
        <v>46070</v>
      </c>
      <c r="D15" s="105"/>
      <c r="E15" s="30"/>
      <c r="F15" s="30"/>
      <c r="G15" s="30"/>
      <c r="H15" s="30" t="s">
        <v>11</v>
      </c>
      <c r="I15" s="30"/>
      <c r="J15" s="30"/>
      <c r="K15" s="30"/>
    </row>
    <row r="16" spans="1:11">
      <c r="A16" s="30"/>
      <c r="B16" s="104"/>
      <c r="C16" s="105"/>
      <c r="D16" s="105"/>
      <c r="E16" s="30"/>
      <c r="F16" s="30"/>
      <c r="G16" s="30"/>
      <c r="H16" s="30" t="s">
        <v>12</v>
      </c>
      <c r="I16" s="30"/>
      <c r="J16" s="30"/>
      <c r="K16" s="30"/>
    </row>
    <row r="17" spans="2:8">
      <c r="B17" s="30"/>
      <c r="C17" s="30"/>
      <c r="D17" s="30"/>
      <c r="E17" s="30"/>
      <c r="F17" s="30"/>
      <c r="G17" s="30"/>
      <c r="H17" s="30" t="s">
        <v>13</v>
      </c>
    </row>
    <row r="18" spans="2:8">
      <c r="B18" s="30"/>
      <c r="C18" s="30"/>
      <c r="D18" s="30"/>
      <c r="E18" s="30"/>
      <c r="F18" s="30"/>
      <c r="G18" s="30"/>
      <c r="H18" s="30" t="s">
        <v>14</v>
      </c>
    </row>
    <row r="19" spans="2:8">
      <c r="B19" s="30"/>
      <c r="C19" s="30"/>
      <c r="D19" s="30"/>
      <c r="E19" s="30"/>
      <c r="F19" s="30"/>
      <c r="G19" s="30"/>
      <c r="H19" s="30" t="s">
        <v>15</v>
      </c>
    </row>
    <row r="20" spans="2:8">
      <c r="B20" s="31"/>
      <c r="C20" s="30"/>
      <c r="D20" s="30"/>
      <c r="E20" s="30"/>
      <c r="F20" s="30"/>
      <c r="G20" s="30"/>
      <c r="H20" s="30"/>
    </row>
  </sheetData>
  <mergeCells count="5">
    <mergeCell ref="A1:C3"/>
    <mergeCell ref="B5:I8"/>
    <mergeCell ref="K5:K8"/>
    <mergeCell ref="B15:B16"/>
    <mergeCell ref="C15:D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10"/>
  <sheetViews>
    <sheetView zoomScale="92" workbookViewId="0"/>
  </sheetViews>
  <sheetFormatPr defaultColWidth="8.85546875" defaultRowHeight="14.45"/>
  <sheetData>
    <row r="1" spans="1:3">
      <c r="A1" t="s">
        <v>91</v>
      </c>
      <c r="B1" t="s">
        <v>40</v>
      </c>
      <c r="C1" t="s">
        <v>33</v>
      </c>
    </row>
    <row r="2" spans="1:3">
      <c r="A2" t="s">
        <v>82</v>
      </c>
      <c r="B2" t="s">
        <v>32</v>
      </c>
      <c r="C2" t="s">
        <v>240</v>
      </c>
    </row>
    <row r="3" spans="1:3">
      <c r="A3" t="s">
        <v>54</v>
      </c>
      <c r="B3" t="s">
        <v>241</v>
      </c>
      <c r="C3" t="s">
        <v>242</v>
      </c>
    </row>
    <row r="4" spans="1:3">
      <c r="A4" t="s">
        <v>29</v>
      </c>
      <c r="B4" t="s">
        <v>243</v>
      </c>
      <c r="C4" t="s">
        <v>244</v>
      </c>
    </row>
    <row r="5" spans="1:3">
      <c r="B5" t="s">
        <v>245</v>
      </c>
      <c r="C5" t="s">
        <v>246</v>
      </c>
    </row>
    <row r="6" spans="1:3">
      <c r="B6" t="s">
        <v>247</v>
      </c>
      <c r="C6" t="s">
        <v>248</v>
      </c>
    </row>
    <row r="7" spans="1:3">
      <c r="B7" t="s">
        <v>249</v>
      </c>
      <c r="C7" t="s">
        <v>250</v>
      </c>
    </row>
    <row r="8" spans="1:3">
      <c r="B8" t="s">
        <v>251</v>
      </c>
      <c r="C8" t="s">
        <v>252</v>
      </c>
    </row>
    <row r="9" spans="1:3">
      <c r="B9" t="s">
        <v>253</v>
      </c>
    </row>
    <row r="10" spans="1:3">
      <c r="B10" t="s">
        <v>254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01A3C7920F8442807AFD056F6C0426" ma:contentTypeVersion="10" ma:contentTypeDescription="Create a new document." ma:contentTypeScope="" ma:versionID="409c151f3a1d5f0a2a33a43a6dc067c5">
  <xsd:schema xmlns:xsd="http://www.w3.org/2001/XMLSchema" xmlns:xs="http://www.w3.org/2001/XMLSchema" xmlns:p="http://schemas.microsoft.com/office/2006/metadata/properties" xmlns:ns3="b0995179-8cb8-4aee-b7fe-80aa9fb44ca8" targetNamespace="http://schemas.microsoft.com/office/2006/metadata/properties" ma:root="true" ma:fieldsID="bec3e221316a284d686c8db41b4eff4b" ns3:_="">
    <xsd:import namespace="b0995179-8cb8-4aee-b7fe-80aa9fb44ca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995179-8cb8-4aee-b7fe-80aa9fb44ca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activity xmlns="b0995179-8cb8-4aee-b7fe-80aa9fb44ca8"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51C549-7ECE-4EAD-ABC0-4484A2834B0B}"/>
</file>

<file path=customXml/itemProps2.xml><?xml version="1.0" encoding="utf-8"?>
<ds:datastoreItem xmlns:ds="http://schemas.openxmlformats.org/officeDocument/2006/customXml" ds:itemID="{B3C6502B-BA1C-4699-85A5-A4FD478107D8}"/>
</file>

<file path=customXml/itemProps3.xml><?xml version="1.0" encoding="utf-8"?>
<ds:datastoreItem xmlns:ds="http://schemas.openxmlformats.org/officeDocument/2006/customXml" ds:itemID="{D744A2ED-1E63-4904-B053-1895FD67FAA1}"/>
</file>

<file path=customXml/itemProps4.xml><?xml version="1.0" encoding="utf-8"?>
<ds:datastoreItem xmlns:ds="http://schemas.openxmlformats.org/officeDocument/2006/customXml" ds:itemID="{D33A6158-950C-4191-B764-2D51A924DDC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2025-09-22T07:20:25Z</dcterms:created>
  <dcterms:modified xsi:type="dcterms:W3CDTF">2026-03-30T21:11:06Z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0x0101000301A3C7920F8442807AFD056F6C0426</vt:lpwstr>
  </property>
</Properties>
</file>