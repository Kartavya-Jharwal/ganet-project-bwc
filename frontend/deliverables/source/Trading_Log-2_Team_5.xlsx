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codeName="ThisWorkbook" defaultThemeVersion="124226"/>
  <mc:AlternateContent xmlns:mc="http://schemas.openxmlformats.org/markup-compatibility/2006">
    <mc:Choice Requires="x15">
      <x15ac:absPath xmlns:x15ac="http://schemas.microsoft.com/office/spreadsheetml/2010/11/ac" url="C:\Users\KJ\Downloads\"/>
    </mc:Choice>
  </mc:AlternateContent>
  <xr:revisionPtr revIDLastSave="0" documentId="13_ncr:1_{20A8D971-FCF8-4FF4-A1A8-A598A8349489}" xr6:coauthVersionLast="47" xr6:coauthVersionMax="47" xr10:uidLastSave="{00000000-0000-0000-0000-000000000000}"/>
  <bookViews>
    <workbookView xWindow="-108" yWindow="-108" windowWidth="23256" windowHeight="12456" firstSheet="2" activeTab="2" xr2:uid="{00000000-000D-0000-FFFF-FFFF00000000}"/>
  </bookViews>
  <sheets>
    <sheet name="READ ME" sheetId="4" state="hidden" r:id="rId1"/>
    <sheet name="Cover" sheetId="7" r:id="rId2"/>
    <sheet name="Trading Log" sheetId="1" r:id="rId3"/>
    <sheet name="Periodic Reflection" sheetId="6" r:id="rId4"/>
    <sheet name="Cover (2)" sheetId="8" state="hidden" r:id="rId5"/>
    <sheet name="VALIDATION_LISTS" sheetId="5" state="hidden" r:id="rId6"/>
  </sheets>
  <definedNames>
    <definedName name="ExternalData_1" localSheetId="3">'Periodic Reflection'!$KJ$418:$KK$420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5" i="1" l="1"/>
  <c r="K5" i="1" s="1"/>
  <c r="I6" i="1"/>
  <c r="K6" i="1" s="1"/>
  <c r="I7" i="1"/>
  <c r="K7" i="1" s="1"/>
  <c r="I8" i="1"/>
  <c r="K8" i="1" s="1"/>
  <c r="I9" i="1"/>
  <c r="I10" i="1"/>
  <c r="K10" i="1" s="1"/>
  <c r="I11" i="1"/>
  <c r="K11" i="1" s="1"/>
  <c r="I12" i="1"/>
  <c r="K12" i="1" s="1"/>
  <c r="I13" i="1"/>
  <c r="K13" i="1" s="1"/>
  <c r="I14" i="1"/>
  <c r="K14" i="1" s="1"/>
  <c r="I15" i="1"/>
  <c r="K15" i="1" s="1"/>
  <c r="I16" i="1"/>
  <c r="K16" i="1" s="1"/>
  <c r="I2" i="1"/>
  <c r="K2" i="1" s="1"/>
  <c r="I3" i="1"/>
  <c r="I4" i="1"/>
  <c r="K9" i="1"/>
  <c r="K4" i="1"/>
  <c r="K3" i="1"/>
  <c r="I18" i="1"/>
  <c r="K18" i="1" s="1"/>
  <c r="I19" i="1"/>
  <c r="K19" i="1"/>
  <c r="I20" i="1"/>
  <c r="K20" i="1"/>
  <c r="I21" i="1"/>
  <c r="K21" i="1" s="1"/>
  <c r="I22" i="1"/>
  <c r="K22" i="1" s="1"/>
  <c r="I23" i="1"/>
  <c r="K23" i="1" s="1"/>
  <c r="I24" i="1"/>
  <c r="K24" i="1" s="1"/>
  <c r="I25" i="1"/>
  <c r="K25" i="1" s="1"/>
  <c r="I26" i="1"/>
  <c r="K26" i="1"/>
  <c r="I27" i="1"/>
  <c r="K27" i="1" s="1"/>
  <c r="I28" i="1"/>
  <c r="K28" i="1" s="1"/>
  <c r="I29" i="1"/>
  <c r="K29" i="1" s="1"/>
  <c r="I30" i="1"/>
  <c r="K30" i="1" s="1"/>
  <c r="I31" i="1"/>
  <c r="K31" i="1" s="1"/>
  <c r="I32" i="1"/>
  <c r="I33" i="1"/>
  <c r="I34" i="1"/>
  <c r="Q17" i="1" a="1"/>
  <c r="Q17" i="1" s="1"/>
  <c r="R17" i="1" a="1"/>
  <c r="R17" i="1" s="1"/>
  <c r="S17" i="1" a="1"/>
  <c r="S17" i="1" s="1"/>
  <c r="T17" i="1" a="1"/>
  <c r="T17" i="1" s="1"/>
  <c r="U17" i="1" a="1"/>
  <c r="U17" i="1" s="1"/>
  <c r="V17" i="1" a="1"/>
  <c r="V17" i="1" s="1"/>
  <c r="W17" i="1" a="1"/>
  <c r="W17" i="1" s="1"/>
  <c r="X17" i="1" a="1"/>
  <c r="X17" i="1" s="1"/>
  <c r="Y17" i="1" a="1"/>
  <c r="Y17" i="1" s="1"/>
  <c r="Z17" i="1" a="1"/>
  <c r="Z17" i="1" s="1"/>
  <c r="AA17" i="1" a="1"/>
  <c r="AA17" i="1" s="1"/>
  <c r="AB17" i="1" a="1"/>
  <c r="AB17" i="1" s="1"/>
  <c r="AC17" i="1" a="1"/>
  <c r="AC17" i="1" s="1"/>
  <c r="AD17" i="1" a="1"/>
  <c r="AD17" i="1" s="1"/>
  <c r="AE17" i="1" a="1"/>
  <c r="AE17" i="1" s="1"/>
  <c r="Q18" i="1" a="1"/>
  <c r="Q18" i="1" s="1"/>
  <c r="R18" i="1" a="1"/>
  <c r="R18" i="1" s="1"/>
  <c r="S18" i="1" a="1"/>
  <c r="S18" i="1" s="1"/>
  <c r="T18" i="1" a="1"/>
  <c r="T18" i="1" s="1"/>
  <c r="U18" i="1" a="1"/>
  <c r="U18" i="1" s="1"/>
  <c r="V18" i="1" a="1"/>
  <c r="V18" i="1" s="1"/>
  <c r="W18" i="1" a="1"/>
  <c r="W18" i="1" s="1"/>
  <c r="X18" i="1" a="1"/>
  <c r="X18" i="1" s="1"/>
  <c r="Y18" i="1" a="1"/>
  <c r="Y18" i="1" s="1"/>
  <c r="Z18" i="1" a="1"/>
  <c r="Z18" i="1" s="1"/>
  <c r="AA18" i="1" a="1"/>
  <c r="AA18" i="1" s="1"/>
  <c r="AB18" i="1" a="1"/>
  <c r="AB18" i="1" s="1"/>
  <c r="AC18" i="1" a="1"/>
  <c r="AC18" i="1" s="1"/>
  <c r="AD18" i="1" a="1"/>
  <c r="AD18" i="1" s="1"/>
  <c r="AE18" i="1" a="1"/>
  <c r="AE18" i="1" s="1"/>
  <c r="L34" i="1"/>
  <c r="L33" i="1"/>
  <c r="O17" i="1" a="1"/>
  <c r="O17" i="1" s="1"/>
  <c r="O18" i="1" a="1"/>
  <c r="O18" i="1" s="1"/>
  <c r="O5" i="1" a="1"/>
  <c r="O5" i="1" s="1"/>
  <c r="O3" i="1" a="1"/>
  <c r="O3" i="1" s="1"/>
  <c r="O4" i="1" a="1"/>
  <c r="O4" i="1" s="1"/>
  <c r="O6" i="1" a="1"/>
  <c r="O6" i="1" s="1"/>
  <c r="O7" i="1" a="1"/>
  <c r="O7" i="1" s="1"/>
  <c r="O8" i="1" a="1"/>
  <c r="O8" i="1" s="1"/>
  <c r="O9" i="1" a="1"/>
  <c r="O9" i="1" s="1"/>
  <c r="O10" i="1" a="1"/>
  <c r="O10" i="1" s="1"/>
  <c r="O11" i="1" a="1"/>
  <c r="O11" i="1" s="1"/>
  <c r="O12" i="1" a="1"/>
  <c r="O12" i="1" s="1"/>
  <c r="O13" i="1" a="1"/>
  <c r="O13" i="1" s="1"/>
  <c r="O14" i="1" a="1"/>
  <c r="O14" i="1" s="1"/>
  <c r="O15" i="1" a="1"/>
  <c r="O15" i="1" s="1"/>
  <c r="O16" i="1" a="1"/>
  <c r="O16" i="1" s="1"/>
  <c r="O2" i="1" a="1"/>
  <c r="O2" i="1" s="1"/>
  <c r="T2" i="1" a="1"/>
  <c r="T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Z7" i="1" a="1"/>
  <c r="Z7" i="1" s="1"/>
  <c r="AA7" i="1" a="1"/>
  <c r="AA7" i="1" s="1"/>
  <c r="Z8" i="1" a="1"/>
  <c r="Z8" i="1" s="1"/>
  <c r="AA8" i="1" a="1"/>
  <c r="AA8" i="1" s="1"/>
  <c r="Z9" i="1" a="1"/>
  <c r="Z9" i="1" s="1"/>
  <c r="AA9" i="1" a="1"/>
  <c r="AA9" i="1" s="1"/>
  <c r="Z10" i="1" a="1"/>
  <c r="Z10" i="1" s="1"/>
  <c r="AA10" i="1" a="1"/>
  <c r="AA10" i="1" s="1"/>
  <c r="Z11" i="1" a="1"/>
  <c r="Z11" i="1" s="1"/>
  <c r="AA11" i="1" a="1"/>
  <c r="AA11" i="1" s="1"/>
  <c r="Z12" i="1" a="1"/>
  <c r="Z12" i="1" s="1"/>
  <c r="AA12" i="1" a="1"/>
  <c r="AA12" i="1" s="1"/>
  <c r="Z13" i="1" a="1"/>
  <c r="Z13" i="1" s="1"/>
  <c r="AA13" i="1" a="1"/>
  <c r="AA13" i="1" s="1"/>
  <c r="Z14" i="1" a="1"/>
  <c r="Z14" i="1" s="1"/>
  <c r="AA14" i="1" a="1"/>
  <c r="AA14" i="1" s="1"/>
  <c r="Z15" i="1" a="1"/>
  <c r="Z15" i="1" s="1"/>
  <c r="AA15" i="1" a="1"/>
  <c r="AA15" i="1" s="1"/>
  <c r="Z16" i="1" a="1"/>
  <c r="Z16" i="1" s="1"/>
  <c r="AA16" i="1" a="1"/>
  <c r="AA16" i="1" s="1"/>
  <c r="Z4" i="1" a="1"/>
  <c r="Z4" i="1" s="1"/>
  <c r="AA4" i="1" a="1"/>
  <c r="AA4" i="1" s="1"/>
  <c r="Z5" i="1" a="1"/>
  <c r="Z5" i="1" s="1"/>
  <c r="AA5" i="1" a="1"/>
  <c r="AA5" i="1" s="1"/>
  <c r="Z6" i="1" a="1"/>
  <c r="Z6" i="1" s="1"/>
  <c r="AA6" i="1" a="1"/>
  <c r="AA6" i="1" s="1"/>
  <c r="AA3" i="1" a="1"/>
  <c r="AA3" i="1" s="1"/>
  <c r="Z3" i="1" a="1"/>
  <c r="Z3" i="1" s="1"/>
  <c r="AA2" i="1" a="1"/>
  <c r="AA2" i="1" s="1"/>
  <c r="Q3" i="1" a="1"/>
  <c r="Q3" i="1" s="1"/>
  <c r="R3" i="1" a="1"/>
  <c r="R3" i="1" s="1"/>
  <c r="Q4" i="1" a="1"/>
  <c r="Q4" i="1" s="1"/>
  <c r="R4" i="1" a="1"/>
  <c r="R4" i="1" s="1"/>
  <c r="Q5" i="1" a="1"/>
  <c r="Q5" i="1" s="1"/>
  <c r="R5" i="1" a="1"/>
  <c r="R5" i="1" s="1"/>
  <c r="Q6" i="1" a="1"/>
  <c r="Q6" i="1" s="1"/>
  <c r="R6" i="1" a="1"/>
  <c r="R6" i="1" s="1"/>
  <c r="Q7" i="1" a="1"/>
  <c r="Q7" i="1" s="1"/>
  <c r="R7" i="1" a="1"/>
  <c r="R7" i="1" s="1"/>
  <c r="Q8" i="1" a="1"/>
  <c r="Q8" i="1" s="1"/>
  <c r="R8" i="1" a="1"/>
  <c r="R8" i="1" s="1"/>
  <c r="Q9" i="1" a="1"/>
  <c r="Q9" i="1" s="1"/>
  <c r="R9" i="1" a="1"/>
  <c r="R9" i="1" s="1"/>
  <c r="Q10" i="1" a="1"/>
  <c r="Q10" i="1" s="1"/>
  <c r="R10" i="1" a="1"/>
  <c r="R10" i="1" s="1"/>
  <c r="Q11" i="1" a="1"/>
  <c r="Q11" i="1" s="1"/>
  <c r="R11" i="1" a="1"/>
  <c r="R11" i="1" s="1"/>
  <c r="Q12" i="1" a="1"/>
  <c r="Q12" i="1" s="1"/>
  <c r="R12" i="1" a="1"/>
  <c r="R12" i="1" s="1"/>
  <c r="Q13" i="1" a="1"/>
  <c r="Q13" i="1" s="1"/>
  <c r="R13" i="1" a="1"/>
  <c r="R13" i="1" s="1"/>
  <c r="Q14" i="1" a="1"/>
  <c r="Q14" i="1" s="1"/>
  <c r="R14" i="1" a="1"/>
  <c r="R14" i="1" s="1"/>
  <c r="Q15" i="1" a="1"/>
  <c r="Q15" i="1" s="1"/>
  <c r="R15" i="1" a="1"/>
  <c r="R15" i="1" s="1"/>
  <c r="Q16" i="1" a="1"/>
  <c r="Q16" i="1" s="1"/>
  <c r="R16" i="1" a="1"/>
  <c r="R16" i="1" s="1"/>
  <c r="R2" i="1" a="1"/>
  <c r="R2" i="1" s="1"/>
  <c r="Q2" i="1" a="1"/>
  <c r="Q2" i="1" s="1"/>
  <c r="Z2" i="1" a="1"/>
  <c r="Z2" i="1" s="1"/>
  <c r="AE3" i="1" a="1"/>
  <c r="AE3" i="1" s="1"/>
  <c r="AE4" i="1" a="1"/>
  <c r="AE4" i="1" s="1"/>
  <c r="AE5" i="1" a="1"/>
  <c r="AE5" i="1" s="1"/>
  <c r="AE6" i="1" a="1"/>
  <c r="AE6" i="1" s="1"/>
  <c r="AE7" i="1" a="1"/>
  <c r="AE7" i="1" s="1"/>
  <c r="AE8" i="1" a="1"/>
  <c r="AE8" i="1" s="1"/>
  <c r="AE9" i="1" a="1"/>
  <c r="AE9" i="1" s="1"/>
  <c r="AE10" i="1" a="1"/>
  <c r="AE10" i="1" s="1"/>
  <c r="AE11" i="1" a="1"/>
  <c r="AE11" i="1" s="1"/>
  <c r="AE12" i="1" a="1"/>
  <c r="AE12" i="1" s="1"/>
  <c r="AE13" i="1" a="1"/>
  <c r="AE13" i="1" s="1"/>
  <c r="AE14" i="1" a="1"/>
  <c r="AE14" i="1" s="1"/>
  <c r="AE15" i="1" a="1"/>
  <c r="AE15" i="1" s="1"/>
  <c r="AE16" i="1" a="1"/>
  <c r="AE16" i="1" s="1"/>
  <c r="AE2" i="1" a="1"/>
  <c r="AE2" i="1" s="1"/>
  <c r="K5" i="7"/>
  <c r="A4" i="6"/>
  <c r="G35" i="1"/>
  <c r="I35" i="1" s="1"/>
  <c r="G36" i="1"/>
  <c r="I36" i="1" s="1"/>
  <c r="W3" i="1" a="1"/>
  <c r="W3" i="1" s="1"/>
  <c r="X3" i="1" a="1"/>
  <c r="X3" i="1" s="1"/>
  <c r="Y3" i="1" a="1"/>
  <c r="Y3" i="1" s="1"/>
  <c r="W4" i="1" a="1"/>
  <c r="W4" i="1" s="1"/>
  <c r="X4" i="1" a="1"/>
  <c r="X4" i="1" s="1"/>
  <c r="Y4" i="1" a="1"/>
  <c r="Y4" i="1" s="1"/>
  <c r="W5" i="1" a="1"/>
  <c r="W5" i="1" s="1"/>
  <c r="X5" i="1" a="1"/>
  <c r="X5" i="1" s="1"/>
  <c r="Y5" i="1" a="1"/>
  <c r="Y5" i="1" s="1"/>
  <c r="W6" i="1" a="1"/>
  <c r="W6" i="1" s="1"/>
  <c r="X6" i="1" a="1"/>
  <c r="X6" i="1" s="1"/>
  <c r="Y6" i="1" a="1"/>
  <c r="Y6" i="1" s="1"/>
  <c r="W7" i="1" a="1"/>
  <c r="W7" i="1" s="1"/>
  <c r="X7" i="1" a="1"/>
  <c r="X7" i="1" s="1"/>
  <c r="Y7" i="1" a="1"/>
  <c r="Y7" i="1" s="1"/>
  <c r="W8" i="1" a="1"/>
  <c r="W8" i="1" s="1"/>
  <c r="X8" i="1" a="1"/>
  <c r="X8" i="1" s="1"/>
  <c r="Y8" i="1" a="1"/>
  <c r="Y8" i="1" s="1"/>
  <c r="W9" i="1" a="1"/>
  <c r="W9" i="1" s="1"/>
  <c r="X9" i="1" a="1"/>
  <c r="X9" i="1" s="1"/>
  <c r="Y9" i="1" a="1"/>
  <c r="Y9" i="1" s="1"/>
  <c r="W10" i="1" a="1"/>
  <c r="W10" i="1" s="1"/>
  <c r="X10" i="1" a="1"/>
  <c r="X10" i="1" s="1"/>
  <c r="Y10" i="1" a="1"/>
  <c r="Y10" i="1" s="1"/>
  <c r="W11" i="1" a="1"/>
  <c r="W11" i="1" s="1"/>
  <c r="X11" i="1" a="1"/>
  <c r="X11" i="1" s="1"/>
  <c r="Y11" i="1" a="1"/>
  <c r="Y11" i="1" s="1"/>
  <c r="W12" i="1" a="1"/>
  <c r="W12" i="1" s="1"/>
  <c r="X12" i="1" a="1"/>
  <c r="X12" i="1" s="1"/>
  <c r="Y12" i="1" a="1"/>
  <c r="Y12" i="1" s="1"/>
  <c r="W13" i="1" a="1"/>
  <c r="W13" i="1" s="1"/>
  <c r="X13" i="1" a="1"/>
  <c r="X13" i="1" s="1"/>
  <c r="Y13" i="1" a="1"/>
  <c r="Y13" i="1" s="1"/>
  <c r="W14" i="1" a="1"/>
  <c r="W14" i="1" s="1"/>
  <c r="X14" i="1" a="1"/>
  <c r="X14" i="1" s="1"/>
  <c r="Y14" i="1" a="1"/>
  <c r="Y14" i="1" s="1"/>
  <c r="W15" i="1" a="1"/>
  <c r="W15" i="1" s="1"/>
  <c r="X15" i="1" a="1"/>
  <c r="X15" i="1" s="1"/>
  <c r="Y15" i="1" a="1"/>
  <c r="Y15" i="1" s="1"/>
  <c r="W16" i="1" a="1"/>
  <c r="W16" i="1" s="1"/>
  <c r="X16" i="1" a="1"/>
  <c r="X16" i="1" s="1"/>
  <c r="Y16" i="1" a="1"/>
  <c r="Y16" i="1" s="1"/>
  <c r="Y2" i="1" a="1"/>
  <c r="Y2" i="1" s="1"/>
  <c r="X2" i="1" a="1"/>
  <c r="X2" i="1" s="1"/>
  <c r="W2" i="1" a="1"/>
  <c r="W2" i="1" s="1"/>
  <c r="S3" i="1" a="1"/>
  <c r="S3" i="1" s="1"/>
  <c r="U3" i="1" a="1"/>
  <c r="U3" i="1" s="1"/>
  <c r="AD3" i="1" a="1"/>
  <c r="AD3" i="1" s="1"/>
  <c r="S4" i="1" a="1"/>
  <c r="S4" i="1" s="1"/>
  <c r="U4" i="1" a="1"/>
  <c r="U4" i="1" s="1"/>
  <c r="AD4" i="1" a="1"/>
  <c r="AD4" i="1" s="1"/>
  <c r="S5" i="1" a="1"/>
  <c r="S5" i="1" s="1"/>
  <c r="U5" i="1" a="1"/>
  <c r="U5" i="1" s="1"/>
  <c r="AD5" i="1" a="1"/>
  <c r="AD5" i="1" s="1"/>
  <c r="S6" i="1" a="1"/>
  <c r="S6" i="1" s="1"/>
  <c r="U6" i="1" a="1"/>
  <c r="U6" i="1" s="1"/>
  <c r="AD6" i="1" a="1"/>
  <c r="AD6" i="1" s="1"/>
  <c r="S7" i="1" a="1"/>
  <c r="S7" i="1" s="1"/>
  <c r="U7" i="1" a="1"/>
  <c r="U7" i="1" s="1"/>
  <c r="AD7" i="1" a="1"/>
  <c r="AD7" i="1" s="1"/>
  <c r="S8" i="1" a="1"/>
  <c r="S8" i="1" s="1"/>
  <c r="U8" i="1" a="1"/>
  <c r="U8" i="1" s="1"/>
  <c r="AD8" i="1" a="1"/>
  <c r="AD8" i="1" s="1"/>
  <c r="S9" i="1" a="1"/>
  <c r="S9" i="1" s="1"/>
  <c r="U9" i="1" a="1"/>
  <c r="U9" i="1" s="1"/>
  <c r="AD9" i="1" a="1"/>
  <c r="AD9" i="1" s="1"/>
  <c r="S10" i="1" a="1"/>
  <c r="S10" i="1" s="1"/>
  <c r="U10" i="1" a="1"/>
  <c r="U10" i="1" s="1"/>
  <c r="AD10" i="1" a="1"/>
  <c r="AD10" i="1" s="1"/>
  <c r="S11" i="1" a="1"/>
  <c r="S11" i="1" s="1"/>
  <c r="U11" i="1" a="1"/>
  <c r="U11" i="1" s="1"/>
  <c r="AD11" i="1" a="1"/>
  <c r="AD11" i="1" s="1"/>
  <c r="S12" i="1" a="1"/>
  <c r="S12" i="1" s="1"/>
  <c r="U12" i="1" a="1"/>
  <c r="U12" i="1" s="1"/>
  <c r="AD12" i="1" a="1"/>
  <c r="AD12" i="1" s="1"/>
  <c r="S13" i="1" a="1"/>
  <c r="S13" i="1" s="1"/>
  <c r="U13" i="1" a="1"/>
  <c r="U13" i="1" s="1"/>
  <c r="AD13" i="1" a="1"/>
  <c r="AD13" i="1" s="1"/>
  <c r="S14" i="1" a="1"/>
  <c r="S14" i="1" s="1"/>
  <c r="U14" i="1" a="1"/>
  <c r="U14" i="1" s="1"/>
  <c r="AD14" i="1" a="1"/>
  <c r="AD14" i="1" s="1"/>
  <c r="S15" i="1" a="1"/>
  <c r="S15" i="1" s="1"/>
  <c r="U15" i="1" a="1"/>
  <c r="U15" i="1" s="1"/>
  <c r="AD15" i="1" a="1"/>
  <c r="AD15" i="1" s="1"/>
  <c r="S16" i="1" a="1"/>
  <c r="S16" i="1" s="1"/>
  <c r="U16" i="1" a="1"/>
  <c r="U16" i="1" s="1"/>
  <c r="AD16" i="1" a="1"/>
  <c r="AD16" i="1" s="1"/>
  <c r="V3" i="1" a="1"/>
  <c r="V3" i="1" s="1"/>
  <c r="V4" i="1" a="1"/>
  <c r="V4" i="1" s="1"/>
  <c r="V5" i="1" a="1"/>
  <c r="V5" i="1" s="1"/>
  <c r="V6" i="1" a="1"/>
  <c r="V6" i="1" s="1"/>
  <c r="V7" i="1" a="1"/>
  <c r="V7" i="1" s="1"/>
  <c r="V8" i="1" a="1"/>
  <c r="V8" i="1" s="1"/>
  <c r="V9" i="1" a="1"/>
  <c r="V9" i="1" s="1"/>
  <c r="V10" i="1" a="1"/>
  <c r="V10" i="1" s="1"/>
  <c r="V11" i="1" a="1"/>
  <c r="V11" i="1" s="1"/>
  <c r="V12" i="1" a="1"/>
  <c r="V12" i="1" s="1"/>
  <c r="V13" i="1" a="1"/>
  <c r="V13" i="1" s="1"/>
  <c r="V14" i="1" a="1"/>
  <c r="V14" i="1" s="1"/>
  <c r="V15" i="1" a="1"/>
  <c r="V15" i="1" s="1"/>
  <c r="V16" i="1" a="1"/>
  <c r="V16" i="1" s="1"/>
  <c r="V2" i="1" a="1"/>
  <c r="V2" i="1" s="1"/>
  <c r="AD2" i="1" a="1"/>
  <c r="AD2" i="1" s="1"/>
  <c r="U2" i="1" a="1"/>
  <c r="U2" i="1" s="1"/>
  <c r="S2" i="1" a="1"/>
  <c r="S2" i="1" s="1"/>
  <c r="AB3" i="1" a="1"/>
  <c r="AB3" i="1" s="1"/>
  <c r="AC3" i="1" a="1"/>
  <c r="AC3" i="1" s="1"/>
  <c r="AB4" i="1" a="1"/>
  <c r="AB4" i="1" s="1"/>
  <c r="AC4" i="1" a="1"/>
  <c r="AC4" i="1" s="1"/>
  <c r="AB5" i="1" a="1"/>
  <c r="AB5" i="1" s="1"/>
  <c r="AC5" i="1" a="1"/>
  <c r="AC5" i="1" s="1"/>
  <c r="AB6" i="1" a="1"/>
  <c r="AB6" i="1" s="1"/>
  <c r="AC6" i="1" a="1"/>
  <c r="AC6" i="1" s="1"/>
  <c r="AB7" i="1" a="1"/>
  <c r="AB7" i="1" s="1"/>
  <c r="AC7" i="1" a="1"/>
  <c r="AC7" i="1" s="1"/>
  <c r="AB8" i="1" a="1"/>
  <c r="AB8" i="1" s="1"/>
  <c r="AC8" i="1" a="1"/>
  <c r="AC8" i="1" s="1"/>
  <c r="AB9" i="1" a="1"/>
  <c r="AB9" i="1" s="1"/>
  <c r="AC9" i="1" a="1"/>
  <c r="AC9" i="1" s="1"/>
  <c r="AB10" i="1" a="1"/>
  <c r="AB10" i="1" s="1"/>
  <c r="AC10" i="1" a="1"/>
  <c r="AC10" i="1" s="1"/>
  <c r="AB11" i="1" a="1"/>
  <c r="AB11" i="1" s="1"/>
  <c r="AC11" i="1" a="1"/>
  <c r="AC11" i="1" s="1"/>
  <c r="AB12" i="1" a="1"/>
  <c r="AB12" i="1" s="1"/>
  <c r="AC12" i="1" a="1"/>
  <c r="AC12" i="1" s="1"/>
  <c r="AB13" i="1" a="1"/>
  <c r="AB13" i="1" s="1"/>
  <c r="AC13" i="1" a="1"/>
  <c r="AC13" i="1" s="1"/>
  <c r="AB14" i="1" a="1"/>
  <c r="AB14" i="1" s="1"/>
  <c r="AC14" i="1" a="1"/>
  <c r="AC14" i="1" s="1"/>
  <c r="AB15" i="1" a="1"/>
  <c r="AB15" i="1" s="1"/>
  <c r="AC15" i="1" a="1"/>
  <c r="AC15" i="1" s="1"/>
  <c r="AB16" i="1" a="1"/>
  <c r="AB16" i="1" s="1"/>
  <c r="AC16" i="1" a="1"/>
  <c r="AC16" i="1" s="1"/>
  <c r="AB2" i="1" a="1"/>
  <c r="AB2" i="1" s="1"/>
  <c r="AC2" i="1" a="1"/>
  <c r="AC2" i="1" s="1"/>
  <c r="A3" i="6"/>
  <c r="I37" i="1"/>
  <c r="K32" i="1" l="1"/>
  <c r="K33" i="1"/>
  <c r="K36" i="1"/>
  <c r="K35" i="1"/>
  <c r="K3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EC89A3-A90B-4CD5-BB38-DEBAB1657A8A}" keepAlive="1" name="Query - attachment;filename=PieChart_assetclass_360651" description="Connection to the 'attachment;filename=PieChart_assetclass_360651' query in the workbook." type="5" refreshedVersion="8" background="1" saveData="1">
    <dbPr connection="Provider=Microsoft.Mashup.OleDb.1;Data Source=$Workbook$;Location=&quot;attachment;filename=PieChart_assetclass_360651&quot;;Extended Properties=&quot;&quot;" command="SELECT * FROM [attachment;filename=PieChart_assetclass_36065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9">
    <bk>
      <extLst>
        <ext uri="{3e2802c4-a4d2-4d8b-9148-e3be6c30e623}">
          <xlrd:rvb i="0"/>
        </ext>
      </extLst>
    </bk>
    <bk>
      <extLst>
        <ext uri="{3e2802c4-a4d2-4d8b-9148-e3be6c30e623}">
          <xlrd:rvb i="3"/>
        </ext>
      </extLst>
    </bk>
    <bk>
      <extLst>
        <ext uri="{3e2802c4-a4d2-4d8b-9148-e3be6c30e623}">
          <xlrd:rvb i="6"/>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6"/>
        </ext>
      </extLst>
    </bk>
    <bk>
      <extLst>
        <ext uri="{3e2802c4-a4d2-4d8b-9148-e3be6c30e623}">
          <xlrd:rvb i="39"/>
        </ext>
      </extLst>
    </bk>
    <bk>
      <extLst>
        <ext uri="{3e2802c4-a4d2-4d8b-9148-e3be6c30e623}">
          <xlrd:rvb i="42"/>
        </ext>
      </extLst>
    </bk>
    <bk>
      <extLst>
        <ext uri="{3e2802c4-a4d2-4d8b-9148-e3be6c30e623}">
          <xlrd:rvb i="45"/>
        </ext>
      </extLst>
    </bk>
    <bk>
      <extLst>
        <ext uri="{3e2802c4-a4d2-4d8b-9148-e3be6c30e623}">
          <xlrd:rvb i="48"/>
        </ext>
      </extLst>
    </bk>
    <bk>
      <extLst>
        <ext uri="{3e2802c4-a4d2-4d8b-9148-e3be6c30e623}">
          <xlrd:rvb i="51"/>
        </ext>
      </extLst>
    </bk>
    <bk>
      <extLst>
        <ext uri="{3e2802c4-a4d2-4d8b-9148-e3be6c30e623}">
          <xlrd:rvb i="52"/>
        </ext>
      </extLst>
    </bk>
  </futureMetadata>
  <futureMetadata name="XLDAPR" count="1">
    <bk>
      <extLst>
        <ext uri="{bdbb8cdc-fa1e-496e-a857-3c3f30c029c3}">
          <xda:dynamicArrayProperties fDynamic="1" fCollapsed="0"/>
        </ext>
      </extLst>
    </bk>
  </futureMetadata>
  <cellMetadata count="1">
    <bk>
      <rc t="2" v="0"/>
    </bk>
  </cellMetadata>
  <valueMetadata count="19">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valueMetadata>
</metadata>
</file>

<file path=xl/sharedStrings.xml><?xml version="1.0" encoding="utf-8"?>
<sst xmlns="http://schemas.openxmlformats.org/spreadsheetml/2006/main" count="289" uniqueCount="148">
  <si>
    <t>Instructions</t>
  </si>
  <si>
    <t xml:space="preserve">Trading Log Template (Action-Based)
How to use:
1) Record EVERY action as a new row on the 'Trading Log' sheet:
   • Open: starting a new position
   • Adjust: changing size (Quantity is the change; positive to add, negative to reduce)
   • Close: closing part or all of a position (Quantity = number of units closed)
   • No Action: use once per reporting period if you made no changes; explain why
2) Keep 'Position After Trade' updated so we can see the running position size.
3) Provide a brief reason in the last column (or for 'No Action', a short rationale for holding).
4) Add longer commentary in the 'Explanations' sheet at the end of each reporting period.
Notes:
• 'Gross Trade Value' and 'Net Trade Value' can be formula-based (Qty*Price minus fees) or entered manually.
• Use the drop-downs for 'Action', 'Type', and 'Trade Currency'.
• We are NOT assessing portfolio performance here; the goal is to track decisions and rationale.
• Delete the 'Example (delete)' sheet before submission.
</t>
  </si>
  <si>
    <t>Trading Log</t>
  </si>
  <si>
    <t>-</t>
  </si>
  <si>
    <t>Team 5 Lon 2</t>
  </si>
  <si>
    <t>The Investment Challenge - CHL-0200</t>
  </si>
  <si>
    <t>Abdul Rafay Malik</t>
  </si>
  <si>
    <t>Prof. Daniela Neiderer</t>
  </si>
  <si>
    <t>Aliah Muhammad Asharaf</t>
  </si>
  <si>
    <t>Azriel Fernandes</t>
  </si>
  <si>
    <t>Date:</t>
  </si>
  <si>
    <t>Devarya Shah</t>
  </si>
  <si>
    <t>Kartavya Jharwal</t>
  </si>
  <si>
    <t>Nandini Prakash Rangani</t>
  </si>
  <si>
    <t>Pedro Junqueira</t>
  </si>
  <si>
    <t>Sayhan Mushrif</t>
  </si>
  <si>
    <t>Date (YYYY-MM-DD)</t>
  </si>
  <si>
    <t>Action (Open / Close / Adjust / No Action)</t>
  </si>
  <si>
    <t>Ticker</t>
  </si>
  <si>
    <t>Asset Name</t>
  </si>
  <si>
    <t>Type (Stock, ETF, Bond, FX, etc.)</t>
  </si>
  <si>
    <t>Quantity (positive number)</t>
  </si>
  <si>
    <t>Price per Unit</t>
  </si>
  <si>
    <t>Trade Currency</t>
  </si>
  <si>
    <t>Gross Trade Value (=Qty*Price)</t>
  </si>
  <si>
    <t>Fees / Commission</t>
  </si>
  <si>
    <t>Net Trade Value</t>
  </si>
  <si>
    <t>Position After Trade (units)</t>
  </si>
  <si>
    <t>Brief Reason (or reason for no change)</t>
  </si>
  <si>
    <t>Name</t>
  </si>
  <si>
    <t>Exchange Abbreviation</t>
  </si>
  <si>
    <t>Instrument Type</t>
  </si>
  <si>
    <t>Last trade time</t>
  </si>
  <si>
    <t>Volume</t>
  </si>
  <si>
    <t>Open</t>
  </si>
  <si>
    <t>Beta</t>
  </si>
  <si>
    <t>Price</t>
  </si>
  <si>
    <t>Change</t>
  </si>
  <si>
    <t>Change (%)</t>
  </si>
  <si>
    <t>High</t>
  </si>
  <si>
    <t>Low</t>
  </si>
  <si>
    <t>52 Week High</t>
  </si>
  <si>
    <t>52 week low</t>
  </si>
  <si>
    <t>Previous Close</t>
  </si>
  <si>
    <t>Market Cap</t>
  </si>
  <si>
    <t>No Action</t>
  </si>
  <si>
    <t>SPY</t>
  </si>
  <si>
    <t>SPDR S&amp;P 500 ETF Trust</t>
  </si>
  <si>
    <t>ETF</t>
  </si>
  <si>
    <t>USD</t>
  </si>
  <si>
    <t>Core benchmark exposure. Portfolio outperforming S&amp;P by +2.00% this period. No thesis change. Stop-loss not required on index position. Hold.</t>
  </si>
  <si>
    <t>LMT</t>
  </si>
  <si>
    <t>Lockhead Martin Corp</t>
  </si>
  <si>
    <t>Stock</t>
  </si>
  <si>
    <t>Defense spending thesis intact. Up +2.70% since entry. Rising global military budgets support continued upside. Trailing stop placed at 5% to protect gains. Hold.</t>
  </si>
  <si>
    <t>XLP</t>
  </si>
  <si>
    <t>Consumer Staples Select Sector SPDR</t>
  </si>
  <si>
    <t>Consumer staples ETF. Minor unrealized loss within normal volatility range. Defensive allocation working as intended during market turbulence. Hold.</t>
  </si>
  <si>
    <t>JNJ</t>
  </si>
  <si>
    <t>Johnson &amp; Johnson</t>
  </si>
  <si>
    <t>Healthcare defensive. Stable earnings and dividend profile unchanged. Thesis intact. Hold.</t>
  </si>
  <si>
    <t>PG</t>
  </si>
  <si>
    <t>Proctor &amp; Gamble Co.</t>
  </si>
  <si>
    <t>FMCG defensive. Strong global brand portfolio and resilient consumer demand thesis confirmed. Hold.</t>
  </si>
  <si>
    <t>WMT</t>
  </si>
  <si>
    <t>Walmart Inc.</t>
  </si>
  <si>
    <t>Down -5.37%. Retail sector under pressure from consumer spending data. Fundamental thesis (defensive retailer in slow economy) unchanged. Stop-loss placed at $118 to limit further downside. Monitor closely.</t>
  </si>
  <si>
    <t>XLU</t>
  </si>
  <si>
    <t>Utilities Select Sector SPDR</t>
  </si>
  <si>
    <t>Utilities ETF. Up +2.71%. Low-beta defensive working as intended in volatile market week. Thesis intact. Hold.</t>
  </si>
  <si>
    <t>TSM</t>
  </si>
  <si>
    <t>Taiwan Semiconductor Manufacturing - ADR</t>
  </si>
  <si>
    <t>AI foundry thesis intact and strengthening. Up +1.68%. 2026 capex guidance and revenue growth forecast unchanged. Hold.</t>
  </si>
  <si>
    <t>MU</t>
  </si>
  <si>
    <t>Micron Technology Inc.</t>
  </si>
  <si>
    <t>HBM memory demand thesis intact. Up +2.97%. AI data center memory demand fully booked 2026. Trailing stop placed at 7% to protect gains. Hold.</t>
  </si>
  <si>
    <t>PLTR</t>
  </si>
  <si>
    <t>Palantir Technologies Inc</t>
  </si>
  <si>
    <t>AI Defense software platform thesis intact. Minor unrealized within acceptable range. Hold.</t>
  </si>
  <si>
    <t>JPM</t>
  </si>
  <si>
    <t>JPMorgan Chase &amp; Co.</t>
  </si>
  <si>
    <t>Down -2.98% on rate expectation repricing. Banking fundamentals unchanged. Thesis intact. Hold.</t>
  </si>
  <si>
    <t>AMZN</t>
  </si>
  <si>
    <t>Amazon.com Inc.</t>
  </si>
  <si>
    <t>AWS cloud and e-commerce thesis intact. Strong cloud infrastructure demand from AI workloads. Hold.</t>
  </si>
  <si>
    <t>GOOGL</t>
  </si>
  <si>
    <t>Alphabet Inc - Class A</t>
  </si>
  <si>
    <t>Big tech AI infrastructure thesis intact.  Gemini AI momentum and search dominance boost. Trailing stop placed at 7%. Hold.</t>
  </si>
  <si>
    <t>GE</t>
  </si>
  <si>
    <t>GE Aerospace</t>
  </si>
  <si>
    <t>Industrial/aerospace thesis intact. Up +2.90%. Strong commercial aviation and energy infrastructure demand. Trailing stop placed at 5%. Hold.</t>
  </si>
  <si>
    <t>IONQ</t>
  </si>
  <si>
    <t>IonQ Inc</t>
  </si>
  <si>
    <t>Down -8.39%. Speculative quantum computing position, sized at 2.7% of total portfolio. Long-term thesis unchanged; short-term volatility expected for early-stage tech. Stop-loss placed at $25. Hold.</t>
  </si>
  <si>
    <t>XLE</t>
  </si>
  <si>
    <t>SSgA Active Trust - The Energy Select Sector SPDR</t>
  </si>
  <si>
    <t>Energy sector ETF. Geopolitical risk premium from US-Iran standoff supports near-term oil price. Tactical position</t>
  </si>
  <si>
    <t>XOM</t>
  </si>
  <si>
    <t>Exxon Mobil Corp</t>
  </si>
  <si>
    <t>Integrated oil major. Geopolitical hedging. . Benefits from elevated crude oil and strong margins.</t>
  </si>
  <si>
    <t>Reporting Period Start 
(YYYY-MM-DD)</t>
  </si>
  <si>
    <t>Reporting Period End 
(YYYY-MM-DD)</t>
  </si>
  <si>
    <t>Strategy Summary (4–8 lines)</t>
  </si>
  <si>
    <t>Top 3 Decisions &amp; Why (bullets)</t>
  </si>
  <si>
    <t>What You Learned / Next Steps</t>
  </si>
  <si>
    <t>Momentum with risk caps per position (max 3% of portfolio). Focus on large-cap tech breakouts and macro-sensitive names ahead of CPI.</t>
  </si>
  <si>
    <t>Made SPY the foundation to reduce single-stock risk
Added LMT for stable defense-sector exposure
Overweighted defensive sectors to protect against downturns</t>
  </si>
  <si>
    <t>Maintain defensive positioning while monitoring sector concentration risk; avoid over-allocating to low-volatility names. Next: consider adding selective growth or international exposure and rebalance if defensive weight becomes excessive.</t>
  </si>
  <si>
    <t>The portfolio's moderate-risk, fundamentals-first mandate was maintained throughout, with no position exceeding 9% of total capital and no sector breaching the 25% concentration limit. </t>
  </si>
  <si>
    <t xml:space="preserve">Short-term geopolitical spike opened on XLE and XOM
Held all positions through market decline
Placed protective stops on WMT, IONQ (stop-loss) and LMT, GE, MU, GOOGL (trailing stops) </t>
  </si>
  <si>
    <t>Learned:
Defensive sector rotation (staples, utilities) behaves as expected during broad market selloffs, validating the barbell construction
Position sizing matters more than individual stock selection — WMT and IONQ caused noise but couldn't meaningfully damage the portfolio because neither exceeded 8% of capital
Next Steps:
Monitor WMT and IONQ weekly; if either breaches its stop-loss, log the close and reallocate proceeds to a higher-conviction position 
Log 3 check-in: reassess JPM given Fed rate trajectory and whether financials sector thesis remains intact 
Consider initiating a small position to bring the portfolio closer to the 60/40 charter target if equity volatility increases</t>
  </si>
  <si>
    <t>1st log</t>
  </si>
  <si>
    <t>AssetClass</t>
  </si>
  <si>
    <t>Value</t>
  </si>
  <si>
    <t>Cash</t>
  </si>
  <si>
    <t>Long Equities</t>
  </si>
  <si>
    <t>Close</t>
  </si>
  <si>
    <t>GBP</t>
  </si>
  <si>
    <t>Adjust</t>
  </si>
  <si>
    <t>Bond</t>
  </si>
  <si>
    <t>EUR</t>
  </si>
  <si>
    <t>Mutual Fund</t>
  </si>
  <si>
    <t>JPY</t>
  </si>
  <si>
    <t>FX</t>
  </si>
  <si>
    <t>CHF</t>
  </si>
  <si>
    <t>Crypto</t>
  </si>
  <si>
    <t>CAD</t>
  </si>
  <si>
    <t>Commodity</t>
  </si>
  <si>
    <t>AUD</t>
  </si>
  <si>
    <t>Index Future</t>
  </si>
  <si>
    <t>CNY</t>
  </si>
  <si>
    <t>Option</t>
  </si>
  <si>
    <t>Other</t>
  </si>
  <si>
    <t>Broad exposure to the U.S. market. Core long-term holding.</t>
  </si>
  <si>
    <t>Defense company with stable government contracts.</t>
  </si>
  <si>
    <t>Consumer staples ETF. Defensive and stable.</t>
  </si>
  <si>
    <t>Healthcare stock. Reliable and defensive.</t>
  </si>
  <si>
    <t>Strong global brands. Steady performance.</t>
  </si>
  <si>
    <t>Large retailer. Performs well even in slow economies.</t>
  </si>
  <si>
    <t>Utilities ETF. Low risk and stable returns.</t>
  </si>
  <si>
    <t>AI chip foundry, 30% revenue growth guidance 2026</t>
  </si>
  <si>
    <t>HBM memory for AI data centers, fully booked 2026</t>
  </si>
  <si>
    <t>AI software platform, government defense contracts</t>
  </si>
  <si>
    <t>Banking sector exposure, diversified financials</t>
  </si>
  <si>
    <t>E-commerce leader plus AWS cloud infrastructure</t>
  </si>
  <si>
    <t>Big tech AI infrastructure, search and cloud diversification</t>
  </si>
  <si>
    <t>Industrial conglomerate, aerospace and energy exposure</t>
  </si>
  <si>
    <t>Quantum computing infrastructure, speculative AI future tech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</si>
</sst>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_([$$-409]* \(#,##0.00\);_([$$-409]* &quot;-&quot;??_);_(@_)"/>
    <numFmt numFmtId="165" formatCode="_([$$-409]* #,##0_);_([$$-409]* \(#,##0\);_([$$-409]* &quot;-&quot;_);_(@_)"/>
    <numFmt numFmtId="166" formatCode="_-[$$-409]* #,##0.00_ ;_-[$$-409]* \-#,##0.00\ ;_-[$$-409]* &quot;-&quot;??_ ;_-@_ "/>
  </numFmts>
  <fonts count="22" x14ac:knownFonts="1">
    <font>
      <sz val="11"/>
      <color theme="1"/>
      <name val="Calibri"/>
      <family val="2"/>
      <scheme val="minor"/>
    </font>
    <font>
      <b/>
      <sz val="12"/>
      <color theme="1"/>
      <name val="Calibri"/>
      <family val="2"/>
      <scheme val="minor"/>
    </font>
    <font>
      <sz val="11"/>
      <color theme="1"/>
      <name val="Bai Jamjuree"/>
      <family val="2"/>
      <charset val="222"/>
    </font>
    <font>
      <b/>
      <sz val="16"/>
      <color theme="1"/>
      <name val="Bai Jamjuree"/>
      <family val="2"/>
      <charset val="222"/>
    </font>
    <font>
      <b/>
      <sz val="12"/>
      <color theme="0"/>
      <name val="Bai Jamjuree"/>
      <family val="2"/>
      <charset val="222"/>
    </font>
    <font>
      <sz val="12"/>
      <color theme="1"/>
      <name val="Bai Jamjuree"/>
      <family val="2"/>
      <charset val="222"/>
    </font>
    <font>
      <sz val="18"/>
      <color theme="1"/>
      <name val="Bai Jamjuree"/>
      <family val="2"/>
      <charset val="222"/>
    </font>
    <font>
      <sz val="12"/>
      <name val="Bai Jamjuree"/>
      <family val="2"/>
      <charset val="222"/>
    </font>
    <font>
      <b/>
      <sz val="12"/>
      <name val="Bai Jamjuree"/>
      <family val="2"/>
      <charset val="222"/>
    </font>
    <font>
      <sz val="72"/>
      <name val="Bai Jamjuree"/>
      <family val="2"/>
      <charset val="222"/>
    </font>
    <font>
      <sz val="16"/>
      <name val="Bai Jamjuree"/>
      <family val="2"/>
      <charset val="222"/>
    </font>
    <font>
      <sz val="22"/>
      <name val="Bai Jamjuree"/>
      <family val="2"/>
      <charset val="222"/>
    </font>
    <font>
      <sz val="72"/>
      <name val="Poppins"/>
    </font>
    <font>
      <b/>
      <sz val="22"/>
      <name val="Bai Jamjuree"/>
      <family val="2"/>
      <charset val="222"/>
    </font>
    <font>
      <sz val="11"/>
      <color theme="1"/>
      <name val="Bai Jamjuree"/>
    </font>
    <font>
      <sz val="12"/>
      <name val="Bai Jamjuree"/>
    </font>
    <font>
      <sz val="22"/>
      <name val="Bai Jamjuree"/>
    </font>
    <font>
      <sz val="16"/>
      <name val="Bai Jamjuree"/>
    </font>
    <font>
      <b/>
      <sz val="12"/>
      <name val="Bai Jamjuree"/>
    </font>
    <font>
      <sz val="72"/>
      <name val="Bai Jamjuree"/>
    </font>
    <font>
      <b/>
      <sz val="22"/>
      <name val="Bai Jamjuree"/>
    </font>
    <font>
      <sz val="11"/>
      <color theme="1"/>
      <name val="Poppins"/>
    </font>
  </fonts>
  <fills count="3">
    <fill>
      <patternFill patternType="none"/>
    </fill>
    <fill>
      <patternFill patternType="gray125"/>
    </fill>
    <fill>
      <patternFill patternType="solid">
        <fgColor theme="4"/>
        <bgColor theme="4"/>
      </patternFill>
    </fill>
  </fills>
  <borders count="3">
    <border>
      <left/>
      <right/>
      <top/>
      <bottom/>
      <diagonal/>
    </border>
    <border>
      <left style="thin">
        <color auto="1"/>
      </left>
      <right style="thin">
        <color auto="1"/>
      </right>
      <top style="thin">
        <color auto="1"/>
      </top>
      <bottom style="thin">
        <color auto="1"/>
      </bottom>
      <diagonal/>
    </border>
    <border>
      <left style="medium">
        <color rgb="FFDDDDDD"/>
      </left>
      <right style="medium">
        <color rgb="FFDDDDDD"/>
      </right>
      <top style="medium">
        <color rgb="FFDDDDDD"/>
      </top>
      <bottom style="medium">
        <color rgb="FFDDDDDD"/>
      </bottom>
      <diagonal/>
    </border>
  </borders>
  <cellStyleXfs count="1">
    <xf numFmtId="0" fontId="0" fillId="0" borderId="0"/>
  </cellStyleXfs>
  <cellXfs count="72">
    <xf numFmtId="0" fontId="0" fillId="0" borderId="0" xfId="0"/>
    <xf numFmtId="0" fontId="1" fillId="0" borderId="0" xfId="0" applyFont="1"/>
    <xf numFmtId="0" fontId="0" fillId="0" borderId="0" xfId="0" applyAlignment="1">
      <alignment vertical="top" wrapText="1"/>
    </xf>
    <xf numFmtId="0" fontId="2" fillId="0" borderId="0" xfId="0" applyFont="1"/>
    <xf numFmtId="0" fontId="2" fillId="0" borderId="0" xfId="0" applyFont="1" applyAlignment="1">
      <alignment horizontal="center"/>
    </xf>
    <xf numFmtId="0" fontId="2" fillId="0" borderId="0" xfId="0" applyFont="1" applyAlignment="1">
      <alignment horizontal="right"/>
    </xf>
    <xf numFmtId="0" fontId="2" fillId="0" borderId="0" xfId="0" applyFont="1" applyAlignment="1">
      <alignment wrapText="1"/>
    </xf>
    <xf numFmtId="14"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vertical="center"/>
    </xf>
    <xf numFmtId="4" fontId="2" fillId="0" borderId="0" xfId="0" applyNumberFormat="1" applyFont="1" applyAlignment="1">
      <alignment horizontal="right" vertical="center"/>
    </xf>
    <xf numFmtId="0" fontId="2" fillId="0" borderId="0" xfId="0" applyFont="1" applyAlignment="1">
      <alignment vertical="center" wrapText="1"/>
    </xf>
    <xf numFmtId="4" fontId="2" fillId="0" borderId="0" xfId="0" applyNumberFormat="1" applyFont="1" applyAlignment="1">
      <alignment horizontal="right"/>
    </xf>
    <xf numFmtId="0" fontId="3" fillId="0" borderId="1" xfId="0" applyFont="1" applyBorder="1" applyAlignment="1">
      <alignment horizontal="center" vertical="top" wrapText="1"/>
    </xf>
    <xf numFmtId="0" fontId="3" fillId="0" borderId="1" xfId="0" applyFont="1" applyBorder="1" applyAlignment="1">
      <alignment horizontal="right" vertical="top" wrapText="1"/>
    </xf>
    <xf numFmtId="0" fontId="4" fillId="2" borderId="1" xfId="0" applyFont="1" applyFill="1" applyBorder="1" applyAlignment="1">
      <alignment horizontal="center" vertical="top" wrapText="1"/>
    </xf>
    <xf numFmtId="0" fontId="5" fillId="0" borderId="0" xfId="0" applyFont="1"/>
    <xf numFmtId="14" fontId="5" fillId="0" borderId="1" xfId="0" applyNumberFormat="1" applyFont="1" applyBorder="1" applyAlignment="1">
      <alignment horizontal="center" vertical="center"/>
    </xf>
    <xf numFmtId="0" fontId="5" fillId="0" borderId="1" xfId="0" applyFont="1" applyBorder="1" applyAlignment="1">
      <alignment vertical="center" wrapText="1"/>
    </xf>
    <xf numFmtId="14" fontId="5" fillId="0" borderId="0" xfId="0" applyNumberFormat="1"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5" fillId="0" borderId="0" xfId="0" applyFont="1" applyAlignment="1">
      <alignment wrapText="1"/>
    </xf>
    <xf numFmtId="164" fontId="2" fillId="0" borderId="0" xfId="0" applyNumberFormat="1" applyFont="1"/>
    <xf numFmtId="0" fontId="3" fillId="0" borderId="0" xfId="0" applyFont="1" applyAlignment="1">
      <alignment horizontal="center" vertical="top" wrapText="1"/>
    </xf>
    <xf numFmtId="22" fontId="2" fillId="0" borderId="0" xfId="0" applyNumberFormat="1" applyFont="1"/>
    <xf numFmtId="4" fontId="2" fillId="0" borderId="0" xfId="0" applyNumberFormat="1" applyFont="1"/>
    <xf numFmtId="10" fontId="2" fillId="0" borderId="0" xfId="0" applyNumberFormat="1" applyFont="1"/>
    <xf numFmtId="3" fontId="2" fillId="0" borderId="0" xfId="0" applyNumberFormat="1" applyFont="1"/>
    <xf numFmtId="0" fontId="6" fillId="0" borderId="0" xfId="0" applyFont="1" applyAlignment="1">
      <alignment wrapText="1"/>
    </xf>
    <xf numFmtId="0" fontId="7" fillId="0" borderId="0" xfId="0" applyFont="1"/>
    <xf numFmtId="0" fontId="7" fillId="0" borderId="0" xfId="0" applyFont="1" applyAlignment="1">
      <alignment horizontal="left" vertical="center" readingOrder="1"/>
    </xf>
    <xf numFmtId="0" fontId="8" fillId="0" borderId="0" xfId="0" applyFont="1" applyAlignment="1">
      <alignment horizontal="left" vertical="center"/>
    </xf>
    <xf numFmtId="0" fontId="7" fillId="0" borderId="0" xfId="0" applyFont="1" applyAlignment="1">
      <alignment horizontal="left"/>
    </xf>
    <xf numFmtId="0" fontId="10" fillId="0" borderId="0" xfId="0" applyFont="1" applyAlignment="1">
      <alignment horizontal="left"/>
    </xf>
    <xf numFmtId="0" fontId="10" fillId="0" borderId="0" xfId="0" applyFont="1" applyAlignment="1">
      <alignment horizontal="left" vertical="center"/>
    </xf>
    <xf numFmtId="0" fontId="13" fillId="0" borderId="0" xfId="0" applyFont="1" applyAlignment="1">
      <alignment horizontal="center" vertical="center"/>
    </xf>
    <xf numFmtId="164" fontId="2" fillId="0" borderId="0" xfId="0" applyNumberFormat="1" applyFont="1" applyAlignment="1">
      <alignment horizontal="right" vertical="center"/>
    </xf>
    <xf numFmtId="0" fontId="15" fillId="0" borderId="0" xfId="0" applyFont="1"/>
    <xf numFmtId="0" fontId="15" fillId="0" borderId="0" xfId="0" applyFont="1" applyAlignment="1">
      <alignment horizontal="left" vertical="center" readingOrder="1"/>
    </xf>
    <xf numFmtId="0" fontId="15" fillId="0" borderId="0" xfId="0" applyFont="1" applyAlignment="1">
      <alignment horizontal="left"/>
    </xf>
    <xf numFmtId="0" fontId="17" fillId="0" borderId="0" xfId="0" applyFont="1" applyAlignment="1">
      <alignment horizontal="left" vertical="center"/>
    </xf>
    <xf numFmtId="0" fontId="17" fillId="0" borderId="0" xfId="0" applyFont="1" applyAlignment="1">
      <alignment horizontal="left"/>
    </xf>
    <xf numFmtId="0" fontId="18" fillId="0" borderId="0" xfId="0" applyFont="1" applyAlignment="1">
      <alignment horizontal="left" vertical="center"/>
    </xf>
    <xf numFmtId="0" fontId="20" fillId="0" borderId="0" xfId="0" applyFont="1" applyAlignment="1">
      <alignment horizontal="center" vertical="center"/>
    </xf>
    <xf numFmtId="165" fontId="2" fillId="0" borderId="0" xfId="0" applyNumberFormat="1" applyFont="1"/>
    <xf numFmtId="0" fontId="21" fillId="0" borderId="2" xfId="0" applyFont="1" applyBorder="1" applyAlignment="1">
      <alignment horizontal="left" vertical="center" wrapText="1"/>
    </xf>
    <xf numFmtId="0" fontId="14" fillId="0" borderId="2" xfId="0" applyFont="1" applyBorder="1" applyAlignment="1">
      <alignment horizontal="left" vertical="center" wrapText="1"/>
    </xf>
    <xf numFmtId="0" fontId="14" fillId="0" borderId="0" xfId="0" applyFont="1" applyAlignment="1">
      <alignment wrapText="1"/>
    </xf>
    <xf numFmtId="0" fontId="5" fillId="0" borderId="1" xfId="0" applyFont="1" applyBorder="1" applyAlignment="1">
      <alignment horizontal="left" vertical="center" wrapText="1" indent="2"/>
    </xf>
    <xf numFmtId="0" fontId="14" fillId="0" borderId="0" xfId="0" applyFont="1" applyAlignment="1">
      <alignment horizontal="center" vertical="center"/>
    </xf>
    <xf numFmtId="0" fontId="2" fillId="0" borderId="0" xfId="0" applyFont="1" applyAlignment="1">
      <alignment horizontal="center" vertical="center" wrapText="1"/>
    </xf>
    <xf numFmtId="166" fontId="14" fillId="0" borderId="0" xfId="0" applyNumberFormat="1" applyFont="1" applyAlignment="1">
      <alignment horizontal="right" vertical="center"/>
    </xf>
    <xf numFmtId="166" fontId="2" fillId="0" borderId="0" xfId="0" applyNumberFormat="1" applyFont="1" applyAlignment="1">
      <alignment horizontal="right" vertical="center"/>
    </xf>
    <xf numFmtId="14" fontId="14" fillId="0" borderId="0" xfId="0" applyNumberFormat="1" applyFont="1" applyAlignment="1">
      <alignment horizontal="center" vertical="center"/>
    </xf>
    <xf numFmtId="0" fontId="14" fillId="0" borderId="0" xfId="0" applyFont="1" applyAlignment="1">
      <alignment horizontal="right" vertical="center"/>
    </xf>
    <xf numFmtId="0" fontId="14" fillId="0" borderId="0" xfId="0" applyFont="1" applyAlignment="1">
      <alignment vertical="center"/>
    </xf>
    <xf numFmtId="4" fontId="14" fillId="0" borderId="0" xfId="0" applyNumberFormat="1" applyFont="1" applyAlignment="1">
      <alignment horizontal="right" vertical="center"/>
    </xf>
    <xf numFmtId="0" fontId="14" fillId="0" borderId="0" xfId="0" applyFont="1" applyAlignment="1">
      <alignment vertical="center" wrapText="1"/>
    </xf>
    <xf numFmtId="0" fontId="7" fillId="0" borderId="0" xfId="0" applyFont="1" applyAlignment="1">
      <alignment horizontal="center"/>
    </xf>
    <xf numFmtId="0" fontId="9" fillId="0" borderId="0" xfId="0" applyFont="1" applyAlignment="1">
      <alignment horizontal="right" vertical="center"/>
    </xf>
    <xf numFmtId="0" fontId="12" fillId="0" borderId="0" xfId="0" applyFont="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xf numFmtId="0" fontId="5" fillId="0" borderId="0" xfId="0" applyFont="1" applyAlignment="1">
      <alignment horizontal="center"/>
    </xf>
    <xf numFmtId="0" fontId="15" fillId="0" borderId="0" xfId="0" applyFont="1" applyAlignment="1">
      <alignment horizontal="center"/>
    </xf>
    <xf numFmtId="0" fontId="19" fillId="0" borderId="0" xfId="0" applyFont="1" applyAlignment="1">
      <alignment horizontal="right" vertical="center"/>
    </xf>
    <xf numFmtId="0" fontId="17" fillId="0" borderId="0" xfId="0" applyFont="1" applyAlignment="1">
      <alignment horizontal="center" vertical="center"/>
    </xf>
    <xf numFmtId="14" fontId="16" fillId="0" borderId="0" xfId="0" applyNumberFormat="1" applyFont="1" applyAlignment="1">
      <alignment horizontal="center" vertical="center"/>
    </xf>
    <xf numFmtId="164" fontId="14" fillId="0" borderId="0" xfId="0" applyNumberFormat="1" applyFont="1" applyAlignment="1">
      <alignment horizontal="right" vertical="center"/>
    </xf>
    <xf numFmtId="0" fontId="14" fillId="0" borderId="0" xfId="0" applyNumberFormat="1" applyFont="1" applyAlignment="1">
      <alignment horizontal="right" vertical="center"/>
    </xf>
  </cellXfs>
  <cellStyles count="1">
    <cellStyle name="Normal" xfId="0" builtinId="0"/>
  </cellStyles>
  <dxfs count="30">
    <dxf>
      <font>
        <b val="0"/>
        <i val="0"/>
        <strike val="0"/>
        <condense val="0"/>
        <extend val="0"/>
        <outline val="0"/>
        <shadow val="0"/>
        <u val="none"/>
        <vertAlign val="baseline"/>
        <sz val="11"/>
        <color theme="1"/>
        <name val="Bai Jamjuree"/>
        <scheme val="none"/>
      </font>
      <alignment horizontal="general" vertical="bottom" textRotation="0" wrapText="1"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numFmt numFmtId="4" formatCode="#,##0.00"/>
      <alignment horizontal="right"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dxf>
    <dxf>
      <font>
        <b val="0"/>
        <i val="0"/>
        <strike val="0"/>
        <condense val="0"/>
        <extend val="0"/>
        <outline val="0"/>
        <shadow val="0"/>
        <u val="none"/>
        <vertAlign val="baseline"/>
        <sz val="11"/>
        <color theme="1"/>
        <name val="Bai Jamjuree"/>
        <family val="2"/>
        <charset val="222"/>
        <scheme val="none"/>
      </font>
    </dxf>
    <dxf>
      <font>
        <b val="0"/>
        <i val="0"/>
        <strike val="0"/>
        <condense val="0"/>
        <extend val="0"/>
        <outline val="0"/>
        <shadow val="0"/>
        <u val="none"/>
        <vertAlign val="baseline"/>
        <sz val="11"/>
        <color theme="1"/>
        <name val="Bai Jamjuree"/>
        <family val="2"/>
        <charset val="222"/>
        <scheme val="none"/>
      </font>
    </dxf>
    <dxf>
      <font>
        <b val="0"/>
        <i val="0"/>
        <strike val="0"/>
        <condense val="0"/>
        <extend val="0"/>
        <outline val="0"/>
        <shadow val="0"/>
        <u val="none"/>
        <vertAlign val="baseline"/>
        <sz val="11"/>
        <color theme="1"/>
        <name val="Bai Jamjuree"/>
        <family val="2"/>
        <charset val="222"/>
        <scheme val="none"/>
      </font>
      <alignment horizontal="right"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Bai Jamjuree"/>
        <family val="2"/>
        <charset val="222"/>
        <scheme val="none"/>
      </font>
      <alignment horizontal="center" vertical="bottom" textRotation="0" wrapText="0" indent="0" justifyLastLine="0" shrinkToFit="0" readingOrder="0"/>
    </dxf>
    <dxf>
      <font>
        <strike val="0"/>
        <outline val="0"/>
        <shadow val="0"/>
        <u val="none"/>
        <vertAlign val="baseline"/>
        <name val="Bai Jamjuree"/>
        <scheme val="none"/>
      </font>
      <alignment vertical="center" textRotation="0" wrapText="1" indent="0" justifyLastLine="0" shrinkToFit="0" readingOrder="0"/>
    </dxf>
    <dxf>
      <font>
        <strike val="0"/>
        <outline val="0"/>
        <shadow val="0"/>
        <u val="none"/>
        <vertAlign val="baseline"/>
        <name val="Bai Jamjuree"/>
        <scheme val="none"/>
      </font>
      <alignment horizontal="center" vertical="center" textRotation="0" wrapText="0" indent="0" justifyLastLine="0" shrinkToFit="0" readingOrder="0"/>
    </dxf>
    <dxf>
      <font>
        <strike val="0"/>
        <outline val="0"/>
        <shadow val="0"/>
        <u val="none"/>
        <vertAlign val="baseline"/>
        <name val="Bai Jamjuree"/>
        <scheme val="none"/>
      </font>
      <numFmt numFmtId="4" formatCode="#,##0.00"/>
      <alignment horizontal="right" vertical="center"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strike val="0"/>
        <outline val="0"/>
        <shadow val="0"/>
        <u val="none"/>
        <vertAlign val="baseline"/>
        <name val="Bai Jamjuree"/>
        <scheme val="none"/>
      </font>
      <numFmt numFmtId="0" formatCode="General"/>
      <alignment horizontal="right" vertical="center" textRotation="0" wrapText="0" indent="0" justifyLastLine="0" shrinkToFit="0" readingOrder="0"/>
    </dxf>
    <dxf>
      <font>
        <strike val="0"/>
        <outline val="0"/>
        <shadow val="0"/>
        <u val="none"/>
        <vertAlign val="baseline"/>
        <name val="Bai Jamjuree"/>
        <scheme val="none"/>
      </font>
      <alignment vertical="center" textRotation="0" indent="0" justifyLastLine="0" shrinkToFit="0" readingOrder="0"/>
    </dxf>
    <dxf>
      <font>
        <strike val="0"/>
        <outline val="0"/>
        <shadow val="0"/>
        <u val="none"/>
        <vertAlign val="baseline"/>
        <name val="Bai Jamjuree"/>
        <scheme val="none"/>
      </font>
      <numFmt numFmtId="164" formatCode="_([$$-409]* #,##0.00_);_([$$-409]* \(#,##0.00\);_([$$-409]* &quot;-&quot;??_);_(@_)"/>
      <alignment horizontal="right" vertical="center" textRotation="0" wrapText="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alignment horizontal="center" vertical="center" textRotation="0" indent="0" justifyLastLine="0" shrinkToFit="0" readingOrder="0"/>
    </dxf>
    <dxf>
      <font>
        <strike val="0"/>
        <outline val="0"/>
        <shadow val="0"/>
        <u val="none"/>
        <vertAlign val="baseline"/>
        <name val="Bai Jamjuree"/>
        <scheme val="none"/>
      </font>
    </dxf>
    <dxf>
      <font>
        <strike val="0"/>
        <outline val="0"/>
        <shadow val="0"/>
        <u val="none"/>
        <vertAlign val="baseline"/>
        <name val="Bai Jamjuree"/>
        <scheme val="none"/>
      </font>
      <alignment vertical="center" textRotation="0" indent="0" justifyLastLine="0" shrinkToFit="0" readingOrder="0"/>
    </dxf>
    <dxf>
      <border outline="0">
        <bottom style="thin">
          <color auto="1"/>
        </bottom>
      </border>
    </dxf>
    <dxf>
      <font>
        <b/>
        <i val="0"/>
        <strike val="0"/>
        <condense val="0"/>
        <extend val="0"/>
        <outline val="0"/>
        <shadow val="0"/>
        <u val="none"/>
        <vertAlign val="baseline"/>
        <sz val="16"/>
        <color theme="1"/>
        <name val="Bai Jamjuree"/>
        <scheme val="none"/>
      </font>
      <alignment horizontal="center" vertical="top"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22/10/relationships/richValueRel" Target="richData/richValueRel.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D491749-9FA6-4C2D-A82F-B78456C80333}" autoFormatId="16" applyNumberFormats="0" applyBorderFormats="0" applyFontFormats="0" applyPatternFormats="0" applyAlignmentFormats="0" applyWidthHeightFormats="0">
  <queryTableRefresh nextId="3">
    <queryTableFields count="2">
      <queryTableField id="1" name="AssetClass" tableColumnId="1"/>
      <queryTableField id="2" name="Value" tableColumnId="2"/>
    </queryTableFields>
  </queryTableRefresh>
</queryTable>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53">
  <rv s="0">
    <v>0</v>
    <v>5</v>
  </rv>
  <rv s="1">
    <v>https://www.bing.com/financeapi/forcetrigger?t=a23hqh&amp;q=ARCX%3aSPY&amp;form=skydnc</v>
    <v>Learn more on Bing</v>
  </rv>
  <rv s="2">
    <v>en-GB</v>
    <v>a23hqh</v>
    <v>268435456</v>
    <v>1</v>
    <v>Powered by Refinitiv</v>
    <v>0</v>
    <v>State Street SPDR S&amp;P500 (ARCX:SPY)</v>
    <v>2</v>
    <v>3</v>
    <v>Finance</v>
    <v>4</v>
    <v>697.84</v>
    <v>481.8</v>
    <v>0.99860000000000004</v>
    <v>0.84</v>
    <v>1.225E-3</v>
    <v>USD</v>
    <v>NYSE Arca</v>
    <v>ARCX</v>
    <v>8.9999999999999998E-4</v>
    <v>687.42</v>
    <v>ETF</v>
    <v>46083.761099142968</v>
    <v>1</v>
    <v>678.03099999999995</v>
    <v>698270243919.53003</v>
    <v>State Street SPDR S&amp;P500</v>
    <v>678.72</v>
    <v>685.99</v>
    <v>686.83</v>
    <v>SPY</v>
    <v>State Street SPDR S&amp;P500 (ARCX:SPY)</v>
    <v>45343444</v>
    <v>79657732</v>
  </rv>
  <rv s="3">
    <v>2</v>
  </rv>
  <rv s="1">
    <v>https://www.bing.com/financeapi/forcetrigger?t=a1wzw7&amp;q=XNYS%3aLMT&amp;form=skydnc</v>
    <v>Learn more on Bing</v>
  </rv>
  <rv s="4">
    <v>en-GB</v>
    <v>a1wzw7</v>
    <v>268435456</v>
    <v>1</v>
    <v>Powered by Refinitiv</v>
    <v>5</v>
    <v>LOCKHEED MARTIN CORPORATION (XNYS:LMT)</v>
    <v>6</v>
    <v>7</v>
    <v>Finance</v>
    <v>8</v>
    <v>692</v>
    <v>410.11</v>
    <v>0.22550000000000001</v>
    <v>14.87</v>
    <v>2.2714999999999999E-2</v>
    <v>USD</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123000</v>
    <v>New York Stock Exchange</v>
    <v>XNYS</v>
    <v>XNYS</v>
    <v>6801 ROCKLEDGE DR, BETHESDA, MD, 20817 US</v>
    <v>692</v>
    <v>Aerospace &amp; Defense</v>
    <v>Stock</v>
    <v>46083.761102325778</v>
    <v>4</v>
    <v>664.01</v>
    <v>154038693900</v>
    <v>LOCKHEED MARTIN CORPORATION</v>
    <v>LOCKHEED MARTIN CORPORATION</v>
    <v>685.26</v>
    <v>31.159700000000001</v>
    <v>654.63</v>
    <v>669.5</v>
    <v>230080200</v>
    <v>LMT</v>
    <v>LOCKHEED MARTIN CORPORATION (XNYS:LMT)</v>
    <v>2051005</v>
    <v>1679750</v>
    <v>1994</v>
  </rv>
  <rv s="3">
    <v>5</v>
  </rv>
  <rv s="1">
    <v>https://www.bing.com/financeapi/forcetrigger?t=a2686h&amp;q=ARCX%3aXLP&amp;form=skydnc</v>
    <v>Learn more on Bing</v>
  </rv>
  <rv s="2">
    <v>en-GB</v>
    <v>a2686h</v>
    <v>268435456</v>
    <v>1</v>
    <v>Powered by Refinitiv</v>
    <v>0</v>
    <v>Sel Sector:C SSS SPDR I (ARCX:XLP)</v>
    <v>2</v>
    <v>3</v>
    <v>Finance</v>
    <v>4</v>
    <v>90.14</v>
    <v>75.16</v>
    <v>0.96619999999999995</v>
    <v>-1.01</v>
    <v>-1.1221000000000002E-2</v>
    <v>USD</v>
    <v>NYSE Arca</v>
    <v>ARCX</v>
    <v>8.0000000000000004E-4</v>
    <v>89.79</v>
    <v>ETF</v>
    <v>46083.761085671096</v>
    <v>7</v>
    <v>88.814999999999998</v>
    <v>16153370670.969999</v>
    <v>Sel Sector:C SSS SPDR I</v>
    <v>89.58</v>
    <v>90.01</v>
    <v>89</v>
    <v>XLP</v>
    <v>Sel Sector:C SSS SPDR I (ARCX:XLP)</v>
    <v>13977233</v>
    <v>22725604</v>
  </rv>
  <rv s="3">
    <v>8</v>
  </rv>
  <rv s="1">
    <v>https://www.bing.com/financeapi/forcetrigger?t=a1w8ec&amp;q=XNYS%3aJNJ&amp;form=skydnc</v>
    <v>Learn more on Bing</v>
  </rv>
  <rv s="4">
    <v>en-GB</v>
    <v>a1w8ec</v>
    <v>268435456</v>
    <v>1</v>
    <v>Powered by Refinitiv</v>
    <v>5</v>
    <v>JOHNSON &amp; JOHNSON (XNYS:JNJ)</v>
    <v>6</v>
    <v>7</v>
    <v>Finance</v>
    <v>8</v>
    <v>251.70500000000001</v>
    <v>141.5</v>
    <v>0.33169999999999999</v>
    <v>-1.1956</v>
    <v>-4.8130000000000004E-3</v>
    <v>USD</v>
    <v>Johnson &amp; Johnson and its subsidiaries are engaged in the research and development, manufacture, and sale of a range of products in the healthcare field. The Company’s segments include Innovative Medicine and MedTech. The Innovative Medicine segment is focused on various therapeutic areas, including immunology, infectious diseases, neuroscience, oncology, pulmonary hypertension, cardiovascular and metabolism. Its products include REMICADE (infliximab), SIMPONI (golimumab), SIMPONI ARIA (golimumab), STELARA (ustekinumab), TREMFYA (guselkumab), EDURANT (rilpivirine), and INVEGA SUSTENNA/XEPLION (paliperidone palmitate). The MedTech segment includes a portfolio of products used in cardiovascular, orthopedics, surgery, and vision categories. The Cardiovascular portfolio includes electrophysiology products to treat heart rhythm disorders and circulatory restoration products (Shockwave) for the treatment of calcified coronary artery disease (CAD) and peripheral artery disease (PAD).</v>
    <v>138200</v>
    <v>New York Stock Exchange</v>
    <v>XNYS</v>
    <v>XNYS</v>
    <v>One Johnson &amp; Johnson Plaza, NEW BRUNSWICK, NJ, 08933 US</v>
    <v>251.70500000000001</v>
    <v>Pharmaceuticals</v>
    <v>Stock</v>
    <v>46083.76105460625</v>
    <v>10</v>
    <v>247.16</v>
    <v>595809933325</v>
    <v>JOHNSON &amp; JOHNSON</v>
    <v>JOHNSON &amp; JOHNSON</v>
    <v>248.75</v>
    <v>22.39</v>
    <v>248.43</v>
    <v>247.23439999999999</v>
    <v>2409899000</v>
    <v>JNJ</v>
    <v>JOHNSON &amp; JOHNSON (XNYS:JNJ)</v>
    <v>3404351</v>
    <v>9317856</v>
    <v>1887</v>
  </rv>
  <rv s="3">
    <v>11</v>
  </rv>
  <rv s="1">
    <v>https://www.bing.com/financeapi/forcetrigger?t=a1zsjc&amp;q=XNYS%3aPG&amp;form=skydnc</v>
    <v>Learn more on Bing</v>
  </rv>
  <rv s="4">
    <v>en-GB</v>
    <v>a1zsjc</v>
    <v>268435456</v>
    <v>1</v>
    <v>Powered by Refinitiv</v>
    <v>5</v>
    <v>THE PROCTER &amp; GAMBLE COMPANY (XNYS:PG)</v>
    <v>6</v>
    <v>7</v>
    <v>Finance</v>
    <v>8</v>
    <v>179.99</v>
    <v>137.62</v>
    <v>0.36280000000000001</v>
    <v>-2.87</v>
    <v>-1.7165E-2</v>
    <v>USD</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109000</v>
    <v>New York Stock Exchange</v>
    <v>XNYS</v>
    <v>XNYS</v>
    <v>One Procter &amp; Gamble Plaza, CINCINNATI, OH, 45202 US</v>
    <v>166.54499999999999</v>
    <v>Personal &amp; Household Products &amp; Services</v>
    <v>Stock</v>
    <v>46083.761084189064</v>
    <v>13</v>
    <v>164.1001</v>
    <v>381903084330</v>
    <v>THE PROCTER &amp; GAMBLE COMPANY</v>
    <v>THE PROCTER &amp; GAMBLE COMPANY</v>
    <v>165.75</v>
    <v>24.3492</v>
    <v>167.2</v>
    <v>164.33</v>
    <v>2324001000</v>
    <v>PG</v>
    <v>THE PROCTER &amp; GAMBLE COMPANY (XNYS:PG)</v>
    <v>3635965</v>
    <v>11597116</v>
    <v>1905</v>
  </rv>
  <rv s="3">
    <v>14</v>
  </rv>
  <rv s="1">
    <v>https://www.bing.com/financeapi/forcetrigger?t=a25ya2&amp;q=XNYS%3aWMT&amp;form=skydnc</v>
    <v>Learn more on Bing</v>
  </rv>
  <rv s="4">
    <v>en-GB</v>
    <v>a25ya2</v>
    <v>268435456</v>
    <v>1</v>
    <v>Powered by Refinitiv</v>
    <v>5</v>
    <v>WALMART INC. (XNAS:WMT)</v>
    <v>6</v>
    <v>7</v>
    <v>Finance</v>
    <v>8</v>
    <v>134.69</v>
    <v>79.81</v>
    <v>0.65890000000000004</v>
    <v>-0.24199999999999999</v>
    <v>-1.8909999999999999E-3</v>
    <v>USD</v>
    <v>Walmart Inc. is a technology-powered omnichannel retailer. The Company is engaged in the operation of retail and wholesale stores and clubs, as well as eCommerce Websites and mobile applications, located throughout the United States (U.S.), Africa, Canada, Central America, Chile, China, India and Mexico. It operates in three reportable segments: Walmart U.S., Walmart International and Sam's Club U.S. The Walmart U.S. segment includes the Company's mass merchandising concept in the U.S., as well as eCommerce, which includes omni-channel initiatives and certain other business offerings such as advertising services. The Walmart International segment consists of the Company's operations outside of the U.S. through its subsidiaries, as well as eCommerce and omni-channel initiatives. The Sam's Club U.S. segment includes the warehouse membership clubs in the U.S., as well as samsclub.com and omni-channel initiatives.</v>
    <v>2100000</v>
    <v>Nasdaq Stock Market</v>
    <v>XNAS</v>
    <v>XNAS</v>
    <v>1 Customer Drive, BENTONVILLE, AR, 72716 US</v>
    <v>128.74</v>
    <v>Food &amp; Drug Retailing</v>
    <v>Stock</v>
    <v>46083.761085983591</v>
    <v>16</v>
    <v>127.09</v>
    <v>1017854087236</v>
    <v>WALMART INC.</v>
    <v>WALMART INC.</v>
    <v>127.5</v>
    <v>46.784599999999998</v>
    <v>127.95</v>
    <v>127.708</v>
    <v>7970167000</v>
    <v>WMT</v>
    <v>WALMART INC. (XNAS:WMT)</v>
    <v>8285228</v>
    <v>26335277</v>
    <v>1969</v>
  </rv>
  <rv s="3">
    <v>17</v>
  </rv>
  <rv s="1">
    <v>https://www.bing.com/financeapi/forcetrigger?t=a268f2&amp;q=ARCX%3aXLU&amp;form=skydnc</v>
    <v>Learn more on Bing</v>
  </rv>
  <rv s="2">
    <v>en-GB</v>
    <v>a268f2</v>
    <v>268435456</v>
    <v>1</v>
    <v>Powered by Refinitiv</v>
    <v>0</v>
    <v>Sel Sector:Utl SS SPDR (ARCX:XLU)</v>
    <v>2</v>
    <v>3</v>
    <v>Finance</v>
    <v>4</v>
    <v>47.8</v>
    <v>35.51</v>
    <v>0.99719999999999998</v>
    <v>-0.31990000000000002</v>
    <v>-6.7020000000000005E-3</v>
    <v>USD</v>
    <v>NYSE Arca</v>
    <v>ARCX</v>
    <v>8.0000000000000004E-4</v>
    <v>47.74</v>
    <v>ETF</v>
    <v>46083.761030103909</v>
    <v>19</v>
    <v>47.37</v>
    <v>24356755083.259998</v>
    <v>Sel Sector:Utl SS SPDR</v>
    <v>47.41</v>
    <v>47.73</v>
    <v>47.4101</v>
    <v>XLU</v>
    <v>Sel Sector:Utl SS SPDR (ARCX:XLU)</v>
    <v>21348412</v>
    <v>30230477</v>
  </rv>
  <rv s="3">
    <v>20</v>
  </rv>
  <rv s="1">
    <v>https://www.bing.com/financeapi/forcetrigger?t=a24kjc&amp;q=XNYS%3aTSM&amp;form=skydnc</v>
    <v>Learn more on Bing</v>
  </rv>
  <rv s="4">
    <v>en-GB</v>
    <v>a24kjc</v>
    <v>268435456</v>
    <v>1</v>
    <v>Powered by Refinitiv</v>
    <v>5</v>
    <v>Taiwan Semiconductor Manufacturing Co., Ltd. (XNYS:TSM)</v>
    <v>6</v>
    <v>7</v>
    <v>Finance</v>
    <v>8</v>
    <v>390.20499999999998</v>
    <v>134.25</v>
    <v>1.2945</v>
    <v>-2.94</v>
    <v>-7.8490000000000001E-3</v>
    <v>USD</v>
    <v>Taiwan Semiconductor Manufacturing Co Ltd is a Taiwan-based integrated circuit foundry service provider. The Company is primarily engaged in integrated circuit manufacturing services. It offers advanced process technologies, specialised process solutions, advanced photomask and silicon stacking, and packaging-related technologies, while supporting a comprehensive design ecosystem. The Company's products serve diverse electronic sectors including artificial intelligence, high-performance computing, wired and wireless communications, automotive and industrial equipment, personal computing, information applications, consumer electronics, smart internet of things, and wearable devices.</v>
    <v>52045</v>
    <v>New York Stock Exchange</v>
    <v>XNYS</v>
    <v>XNYS</v>
    <v>No.8, Li-Hsin 6th Road, Hsinchu Science Park, HSINCHU, HSINCHU, 300 TW</v>
    <v>373.1</v>
    <v>Semiconductors &amp; Semiconductor Equipment</v>
    <v>Stock</v>
    <v>46083.761071203124</v>
    <v>22</v>
    <v>364.65</v>
    <v>1927512718200</v>
    <v>Taiwan Semiconductor Manufacturing Co., Ltd.</v>
    <v>Taiwan Semiconductor Manufacturing Co., Ltd.</v>
    <v>364.84</v>
    <v>35.153599999999997</v>
    <v>374.58</v>
    <v>371.64</v>
    <v>5186505000</v>
    <v>TSM</v>
    <v>Taiwan Semiconductor Manufacturing Co., Ltd. (XNYS:TSM)</v>
    <v>7845377</v>
    <v>12450672</v>
    <v>1987</v>
  </rv>
  <rv s="3">
    <v>23</v>
  </rv>
  <rv s="1">
    <v>https://www.bing.com/financeapi/forcetrigger?t=a1y4oc&amp;q=XNAS%3aMU&amp;form=skydnc</v>
    <v>Learn more on Bing</v>
  </rv>
  <rv s="4">
    <v>en-GB</v>
    <v>a1y4oc</v>
    <v>268435456</v>
    <v>1</v>
    <v>Powered by Refinitiv</v>
    <v>5</v>
    <v>MICRON TECHNOLOGY, INC. (XNAS:MU)</v>
    <v>6</v>
    <v>7</v>
    <v>Finance</v>
    <v>8</v>
    <v>455.5</v>
    <v>61.54</v>
    <v>1.5076000000000001</v>
    <v>3.1699000000000002</v>
    <v>7.6870000000000003E-3</v>
    <v>USD</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Compute and Networking Business Unit (CNBU), Mobile Business Unit (MBU), Embedded Business Unit (EBU), and Storage Business Unit (SBU). CNBU segment includes memory products and solutions sold into the data center, PC, graphics, and networking markets. MBU segment includes memory and storage products sold into the smartphone and other mobile-device markets. EBU segment includes memory and storage products and solutions sold into the intelligent edge through the automotive, industrial, and consumer embedded markets. SBU segment includes SSDs and component-level storage solutions sold into the data center, PC, and consumer markets.</v>
    <v>53000</v>
    <v>Nasdaq Stock Market</v>
    <v>XNAS</v>
    <v>XNAS</v>
    <v>8000 S Federal Way, Po Box 6, BOISE, ID, 83716-9632 US</v>
    <v>417.61</v>
    <v>Semiconductors &amp; Semiconductor Equipment</v>
    <v>Stock</v>
    <v>46083.761108633596</v>
    <v>25</v>
    <v>397.01010000000002</v>
    <v>467693897309</v>
    <v>MICRON TECHNOLOGY, INC.</v>
    <v>MICRON TECHNOLOGY, INC.</v>
    <v>401.9</v>
    <v>39.5</v>
    <v>412.37</v>
    <v>415.53989999999999</v>
    <v>1125509000</v>
    <v>MU</v>
    <v>MICRON TECHNOLOGY, INC. (XNAS:MU)</v>
    <v>19721356</v>
    <v>36356248</v>
    <v>1984</v>
  </rv>
  <rv s="3">
    <v>26</v>
  </rv>
  <rv s="1">
    <v>https://www.bing.com/financeapi/forcetrigger?t=bvsk7w&amp;q=XNYS%3aPLTR&amp;form=skydnc</v>
    <v>Learn more on Bing</v>
  </rv>
  <rv s="4">
    <v>en-GB</v>
    <v>bvsk7w</v>
    <v>268435456</v>
    <v>1</v>
    <v>Powered by Refinitiv</v>
    <v>5</v>
    <v>PALANTIR TECHNOLOGIES INC. (XNAS:PLTR)</v>
    <v>6</v>
    <v>7</v>
    <v>Finance</v>
    <v>8</v>
    <v>207.52</v>
    <v>66.12</v>
    <v>1.7018</v>
    <v>8.7569999999999997</v>
    <v>6.3830999999999999E-2</v>
    <v>USD</v>
    <v>Palantir Technologies Inc. is engaged in building software to assist in counterterrorism investigations and operations. The Company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and other AI within any organization.</v>
    <v>4429</v>
    <v>Nasdaq Stock Market</v>
    <v>XNAS</v>
    <v>XNAS</v>
    <v>1200 17Th Street, Floor 15, DENVER, CO, 80202 US</v>
    <v>147.13999999999999</v>
    <v>Software &amp; IT Services</v>
    <v>Stock</v>
    <v>46083.761102256249</v>
    <v>28</v>
    <v>140.52000000000001</v>
    <v>348911260437</v>
    <v>PALANTIR TECHNOLOGIES INC.</v>
    <v>PALANTIR TECHNOLOGIES INC.</v>
    <v>140.91</v>
    <v>230.6369</v>
    <v>137.19</v>
    <v>145.947</v>
    <v>2390671000</v>
    <v>PLTR</v>
    <v>PALANTIR TECHNOLOGIES INC. (XNAS:PLTR)</v>
    <v>48561800</v>
    <v>57549560</v>
    <v>2003</v>
  </rv>
  <rv s="3">
    <v>29</v>
  </rv>
  <rv s="1">
    <v>https://www.bing.com/financeapi/forcetrigger?t=a1waa2&amp;q=XNYS%3aJPM&amp;form=skydnc</v>
    <v>Learn more on Bing</v>
  </rv>
  <rv s="4">
    <v>en-GB</v>
    <v>a1waa2</v>
    <v>268435456</v>
    <v>1</v>
    <v>Powered by Refinitiv</v>
    <v>5</v>
    <v>JPMORGAN CHASE &amp; CO. (XNYS:JPM)</v>
    <v>6</v>
    <v>7</v>
    <v>Finance</v>
    <v>8</v>
    <v>337.25</v>
    <v>202.16</v>
    <v>1.0550999999999999</v>
    <v>-0.91</v>
    <v>-3.0299999999999997E-3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318512</v>
    <v>New York Stock Exchange</v>
    <v>XNYS</v>
    <v>XNYS</v>
    <v>270 Park Avenue, NEW YORK, NY, 10017 US</v>
    <v>299.97989999999999</v>
    <v>Banking Services</v>
    <v>Stock</v>
    <v>46083.761086573439</v>
    <v>31</v>
    <v>293.23</v>
    <v>807464410480</v>
    <v>JPMORGAN CHASE &amp; CO.</v>
    <v>JPMORGAN CHASE &amp; CO.</v>
    <v>295.14999999999998</v>
    <v>14.961399999999999</v>
    <v>300.3</v>
    <v>299.39</v>
    <v>2697032000</v>
    <v>JPM</v>
    <v>JPMORGAN CHASE &amp; CO. (XNYS:JPM)</v>
    <v>4228596</v>
    <v>10822041</v>
    <v>1968</v>
  </rv>
  <rv s="3">
    <v>32</v>
  </rv>
  <rv s="1">
    <v>https://www.bing.com/financeapi/forcetrigger?t=a1nhlh&amp;q=XNAS%3aAMZN&amp;form=skydnc</v>
    <v>Learn more on Bing</v>
  </rv>
  <rv s="4">
    <v>en-GB</v>
    <v>a1nhlh</v>
    <v>268435456</v>
    <v>1</v>
    <v>Powered by Refinitiv</v>
    <v>5</v>
    <v>AMAZON.COM, INC. (XNAS:AMZN)</v>
    <v>6</v>
    <v>7</v>
    <v>Finance</v>
    <v>8</v>
    <v>258.60000000000002</v>
    <v>161.38</v>
    <v>1.4045000000000001</v>
    <v>-1.1950000000000001</v>
    <v>-5.6899999999999997E-3</v>
    <v>USD</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1576000</v>
    <v>Nasdaq Stock Market</v>
    <v>XNAS</v>
    <v>XNAS</v>
    <v>410 Terry Avenue North, SEATTLE, WA, 98109 US</v>
    <v>209.43</v>
    <v>Diversified Retail</v>
    <v>Stock</v>
    <v>46083.761099803123</v>
    <v>34</v>
    <v>203.48</v>
    <v>2241504970600</v>
    <v>AMAZON.COM, INC.</v>
    <v>AMAZON.COM, INC.</v>
    <v>204.25</v>
    <v>29.113099999999999</v>
    <v>210</v>
    <v>208.80500000000001</v>
    <v>10734920000</v>
    <v>AMZN</v>
    <v>AMAZON.COM, INC. (XNAS:AMZN)</v>
    <v>25063721</v>
    <v>60104088</v>
    <v>1996</v>
  </rv>
  <rv s="3">
    <v>35</v>
  </rv>
  <rv s="1">
    <v>https://www.bing.com/financeapi/forcetrigger?t=a1u3rw&amp;q=XNAS%3aGOOGL&amp;form=skydnc</v>
    <v>Learn more on Bing</v>
  </rv>
  <rv s="4">
    <v>en-GB</v>
    <v>a1u3rw</v>
    <v>268435456</v>
    <v>1</v>
    <v>Powered by Refinitiv</v>
    <v>5</v>
    <v>ALPHABET INC. (XNAS:GOOGL)</v>
    <v>6</v>
    <v>7</v>
    <v>Finance</v>
    <v>8</v>
    <v>349</v>
    <v>140.53</v>
    <v>1.0972</v>
    <v>-4.6100000000000003</v>
    <v>-1.4787E-2</v>
    <v>USD</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190820</v>
    <v>Nasdaq Stock Market</v>
    <v>XNAS</v>
    <v>XNAS</v>
    <v>1600 Amphitheatre Parkway, MOUNTAIN VIEW, CA, 94043 US</v>
    <v>308.49</v>
    <v>Software &amp; IT Services</v>
    <v>Stock</v>
    <v>46083.76111994141</v>
    <v>37</v>
    <v>301.3</v>
    <v>3715593549999</v>
    <v>ALPHABET INC.</v>
    <v>ALPHABET INC.</v>
    <v>303.16000000000003</v>
    <v>28.413499999999999</v>
    <v>311.76</v>
    <v>307.14999999999998</v>
    <v>12097000000</v>
    <v>GOOGL</v>
    <v>ALPHABET INC. (XNAS:GOOGL)</v>
    <v>14616736</v>
    <v>39289847</v>
    <v>2015</v>
  </rv>
  <rv s="3">
    <v>38</v>
  </rv>
  <rv s="1">
    <v>https://www.bing.com/financeapi/forcetrigger?t=a1tr1h&amp;q=XNYS%3aGE&amp;form=skydnc</v>
    <v>Learn more on Bing</v>
  </rv>
  <rv s="4">
    <v>en-GB</v>
    <v>a1tr1h</v>
    <v>268435456</v>
    <v>1</v>
    <v>Powered by Refinitiv</v>
    <v>5</v>
    <v>GENERAL ELECTRIC COMPANY (XNYS:GE)</v>
    <v>6</v>
    <v>7</v>
    <v>Finance</v>
    <v>8</v>
    <v>348.48</v>
    <v>159.36000000000001</v>
    <v>1.3764000000000001</v>
    <v>3.27</v>
    <v>9.554E-3</v>
    <v>USD</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57000</v>
    <v>New York Stock Exchange</v>
    <v>XNYS</v>
    <v>XNYS</v>
    <v>1 Neumann Way, Evendale, OH, 45215 US</v>
    <v>346</v>
    <v>Aerospace &amp; Defense</v>
    <v>Stock</v>
    <v>46083.761112707813</v>
    <v>40</v>
    <v>335.33</v>
    <v>362396701420</v>
    <v>GENERAL ELECTRIC COMPANY</v>
    <v>GENERAL ELECTRIC COMPANY</v>
    <v>341.67</v>
    <v>42.889400000000002</v>
    <v>342.26</v>
    <v>345.53</v>
    <v>1048814000</v>
    <v>GE</v>
    <v>GENERAL ELECTRIC COMPANY (XNYS:GE)</v>
    <v>2112236</v>
    <v>5794041</v>
    <v>1892</v>
  </rv>
  <rv s="3">
    <v>41</v>
  </rv>
  <rv s="1">
    <v>https://www.bing.com/financeapi/forcetrigger?t=bxb5m7&amp;q=XNYS%3aIONQ&amp;form=skydnc</v>
    <v>Learn more on Bing</v>
  </rv>
  <rv s="4">
    <v>en-GB</v>
    <v>bxb5m7</v>
    <v>268435456</v>
    <v>1</v>
    <v>Powered by Refinitiv</v>
    <v>5</v>
    <v>IONQ, INC. (XNYS:IONQ)</v>
    <v>6</v>
    <v>7</v>
    <v>Finance</v>
    <v>8</v>
    <v>84.64</v>
    <v>17.88</v>
    <v>2.6114999999999999</v>
    <v>-0.74</v>
    <v>-1.9286000000000001E-2</v>
    <v>USD</v>
    <v>IonQ, Inc. is engaged in the quantum computing and networking industry, delivering high-performance systems capable of solving complex commercial and research use cases. Its generation quantum computers, IonQ Forte and IonQ Forte Enterprise, are cutting-edge systems, boasting 36 algorithmic qubits. It sells specialized quantum computing and networking hardware together with related maintenance and support. It also sells access to several quantum computers of various qubit capacities and is in the process of researching and developing technologies for quantum computers with increasing computational capabilities. It makes access to its quantum computers available via three cloud platforms, Amazon Web Services' (AWS) Amazon Braket, Microsoft's Azure Quantum and Google's Cloud Marketplace, and also to select customers via its own cloud service. Its product portfolio also includes quantum key distribution (QKD) systems, quantum random number generators (QRNGs), and single-photon detectors.</v>
    <v>1132</v>
    <v>New York Stock Exchange</v>
    <v>XNYS</v>
    <v>XNYS</v>
    <v>4505 Campus Drive, Suite 100, COLLEGE PARK, MD, 20740 US</v>
    <v>38.409999999999997</v>
    <v>Computers, Phones &amp; Household Electronics</v>
    <v>Stock</v>
    <v>46083.761082245313</v>
    <v>43</v>
    <v>36.4</v>
    <v>13796689541</v>
    <v>IONQ, INC.</v>
    <v>IONQ, INC.</v>
    <v>36.49</v>
    <v>0</v>
    <v>38.369999999999997</v>
    <v>37.630000000000003</v>
    <v>366640700</v>
    <v>IONQ</v>
    <v>IONQ, INC. (XNYS:IONQ)</v>
    <v>11165244</v>
    <v>23294011</v>
    <v>2020</v>
  </rv>
  <rv s="3">
    <v>44</v>
  </rv>
  <rv s="1">
    <v>https://www.bing.com/financeapi/forcetrigger?t=a267oc&amp;q=ARCX%3aXLE&amp;form=skydnc</v>
    <v>Learn more on Bing</v>
  </rv>
  <rv s="2">
    <v>en-GB</v>
    <v>a267oc</v>
    <v>268435456</v>
    <v>1</v>
    <v>Powered by Refinitiv</v>
    <v>0</v>
    <v>Sel Sector:Enrgy SS SPDR (ARCX:XLE)</v>
    <v>2</v>
    <v>3</v>
    <v>Finance</v>
    <v>4</v>
    <v>57.88</v>
    <v>37.244999999999997</v>
    <v>1.1346000000000001</v>
    <v>0.86</v>
    <v>1.5379E-2</v>
    <v>USD</v>
    <v>NYSE Arca</v>
    <v>ARCX</v>
    <v>8.0000000000000004E-4</v>
    <v>57.88</v>
    <v>ETF</v>
    <v>46083.761069305467</v>
    <v>46</v>
    <v>56.27</v>
    <v>32989736180.689999</v>
    <v>Sel Sector:Enrgy SS SPDR</v>
    <v>57.88</v>
    <v>55.92</v>
    <v>56.78</v>
    <v>XLE</v>
    <v>Sel Sector:Enrgy SS SPDR (ARCX:XLE)</v>
    <v>87183439</v>
    <v>53621521</v>
  </rv>
  <rv s="3">
    <v>47</v>
  </rv>
  <rv s="1">
    <v>https://www.bing.com/financeapi/forcetrigger?t=a269ec&amp;q=XNYS%3aXOM&amp;form=skydnc</v>
    <v>Learn more on Bing</v>
  </rv>
  <rv s="4">
    <v>en-GB</v>
    <v>a269ec</v>
    <v>268435456</v>
    <v>1</v>
    <v>Powered by Refinitiv</v>
    <v>5</v>
    <v>EXXON MOBIL CORPORATION (XNYS:XOM)</v>
    <v>6</v>
    <v>7</v>
    <v>Finance</v>
    <v>8</v>
    <v>159.37</v>
    <v>97.8</v>
    <v>0.34720000000000001</v>
    <v>1.75</v>
    <v>1.1474999999999999E-2</v>
    <v>USD</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58000</v>
    <v>New York Stock Exchange</v>
    <v>XNYS</v>
    <v>XNYS</v>
    <v>22777 SPRINGWOODS VILLAGE PARKWAY, SPRING, TX, 77389-1425 US</v>
    <v>159.37</v>
    <v>Oil &amp; Gas</v>
    <v>Stock</v>
    <v>46083.761111492968</v>
    <v>49</v>
    <v>153.03</v>
    <v>642723347000</v>
    <v>EXXON MOBIL CORPORATION</v>
    <v>EXXON MOBIL CORPORATION</v>
    <v>159.37</v>
    <v>23.089600000000001</v>
    <v>152.5</v>
    <v>154.25</v>
    <v>4166764000</v>
    <v>XOM</v>
    <v>EXXON MOBIL CORPORATION (XNYS:XOM)</v>
    <v>19589371</v>
    <v>21920128</v>
    <v>1882</v>
  </rv>
  <rv s="3">
    <v>50</v>
  </rv>
  <rv s="0">
    <v>1</v>
    <v>5</v>
  </rv>
</rvData>
</file>

<file path=xl/richData/rdrichvaluestructure.xml><?xml version="1.0" encoding="utf-8"?>
<rvStructures xmlns="http://schemas.microsoft.com/office/spreadsheetml/2017/richdata" count="5">
  <s t="_localImage">
    <k n="_rvRel:LocalImageIdentifier" t="i"/>
    <k n="CalcOrigin" t="i"/>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Exchange" t="s"/>
    <k n="Exchange abbreviation" t="s"/>
    <k n="Expense ratio"/>
    <k n="High"/>
    <k n="Instrument type" t="s"/>
    <k n="Last trade time"/>
    <k n="LearnMoreOnLink" t="r"/>
    <k n="Low"/>
    <k n="Market cap"/>
    <k n="Name" t="s"/>
    <k n="Open"/>
    <k n="Previous close"/>
    <k n="Price"/>
    <k n="Ticker symbol" t="s"/>
    <k n="UniqueName" t="s"/>
    <k n="Volume"/>
    <k n="Volume average"/>
  </s>
  <s t="_linkedentity">
    <k n="%cvi" t="r"/>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2">
    <a count="34">
      <v t="s">%EntityServiceId</v>
      <v t="s">_Format</v>
      <v t="s">%IsRefreshable</v>
      <v t="s">%EntityCulture</v>
      <v t="s">%EntityId</v>
      <v t="s">_Icon</v>
      <v t="s">_Display</v>
      <v t="s">Name</v>
      <v t="s">_SubLabel</v>
      <v t="s">Price</v>
      <v t="s">Exchange</v>
      <v t="s">Last trade time</v>
      <v t="s">Ticker symbol</v>
      <v t="s">Exchange abbreviation</v>
      <v t="s">Change</v>
      <v t="s">Expense ratio</v>
      <v t="s">Change (%)</v>
      <v t="s">Currency</v>
      <v t="s">Previous close</v>
      <v t="s">Open</v>
      <v t="s">High</v>
      <v t="s">Low</v>
      <v t="s">52 week high</v>
      <v t="s">52 week low</v>
      <v t="s">Volume</v>
      <v t="s">Volume average</v>
      <v t="s">Market cap</v>
      <v t="s">Beta</v>
      <v t="s">Instrument type</v>
      <v t="s">_Flags</v>
      <v t="s">UniqueName</v>
      <v t="s">_DisplayString</v>
      <v t="s">LearnMoreOnLink</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9">
    <spb s="0">
      <v>0</v>
      <v>Name</v>
      <v>LearnMoreOnLink</v>
    </spb>
    <spb s="1">
      <v>0</v>
      <v>0</v>
      <v>0</v>
    </spb>
    <spb s="2">
      <v>1</v>
      <v>1</v>
      <v>1</v>
    </spb>
    <spb s="3">
      <v>1</v>
      <v>2</v>
      <v>1</v>
      <v>3</v>
      <v>1</v>
      <v>1</v>
      <v>1</v>
      <v>4</v>
      <v>5</v>
      <v>6</v>
      <v>1</v>
      <v>1</v>
      <v>5</v>
      <v>1</v>
      <v>4</v>
      <v>7</v>
      <v>8</v>
    </spb>
    <spb s="4">
      <v>Real-Time Nasdaq Last Sale</v>
      <v>from previous close</v>
      <v>Source: Nasdaq Last Sale</v>
      <v>from previous close</v>
      <v>GMT</v>
    </spb>
    <spb s="0">
      <v>1</v>
      <v>Name</v>
      <v>LearnMoreOnLink</v>
    </spb>
    <spb s="5">
      <v>1</v>
      <v>1</v>
      <v>1</v>
      <v>1</v>
    </spb>
    <spb s="6">
      <v>1</v>
      <v>2</v>
      <v>2</v>
      <v>1</v>
      <v>3</v>
      <v>1</v>
      <v>1</v>
      <v>1</v>
      <v>4</v>
      <v>4</v>
      <v>5</v>
      <v>6</v>
      <v>1</v>
      <v>1</v>
      <v>1</v>
      <v>4</v>
      <v>7</v>
      <v>9</v>
      <v>8</v>
      <v>4</v>
    </spb>
    <spb s="7">
      <v>Real-Time Nasdaq Last Sale</v>
      <v>from previous close</v>
      <v>from previous close</v>
      <v>Source: Nasdaq Last Sale</v>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UniqueName" t="spb"/>
    <k n="`%ProviderInfo" t="spb"/>
    <k n="LearnMoreOnLink" t="spb"/>
  </s>
  <s>
    <k n="Low" t="i"/>
    <k n="Beta" t="i"/>
    <k n="High" t="i"/>
    <k n="Name" t="i"/>
    <k n="Open" t="i"/>
    <k n="Price" t="i"/>
    <k n="Change" t="i"/>
    <k n="Volume" t="i"/>
    <k n="Change (%)" t="i"/>
    <k n="Market cap" t="i"/>
    <k n="52 week low" t="i"/>
    <k n="52 week high" t="i"/>
    <k n="Expense ratio" t="i"/>
    <k n="Previous close" t="i"/>
    <k n="Volume average" t="i"/>
    <k n="Last trade time" t="i"/>
    <k n="`%EntityServiceId" t="i"/>
  </s>
  <s>
    <k n="Price" t="s"/>
    <k n="Change" t="s"/>
    <k n="Exchange" t="s"/>
    <k n="Change (%)" t="s"/>
    <k n="Last trade time" t="s"/>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0">
      <rpv i="0">0.00</rpv>
    </rSty>
    <rSty dxfid="6">
      <rpv i="0">0</rpv>
    </rSty>
  </richStyles>
</richStyleSheet>
</file>

<file path=xl/richData/richValueRel.xml><?xml version="1.0" encoding="utf-8"?>
<richValueRels xmlns="http://schemas.microsoft.com/office/spreadsheetml/2022/richvaluerel" xmlns:r="http://schemas.openxmlformats.org/officeDocument/2006/relationships">
  <rel r:id="rId1"/>
  <rel r:id="rId2"/>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radingLogTable" displayName="TradingLogTable" ref="A1:M37" totalsRowCount="1" headerRowDxfId="29" dataDxfId="27" totalsRowDxfId="26" headerRowBorderDxfId="28">
  <autoFilter ref="A1:M3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00000000-0010-0000-0000-000001000000}" name="Date (YYYY-MM-DD)" dataDxfId="25" totalsRowDxfId="12"/>
    <tableColumn id="3" xr3:uid="{00000000-0010-0000-0000-000003000000}" name="Action (Open / Close / Adjust / No Action)" dataDxfId="24" totalsRowDxfId="11"/>
    <tableColumn id="4" xr3:uid="{00000000-0010-0000-0000-000004000000}" name="Ticker" dataDxfId="23" totalsRowDxfId="10"/>
    <tableColumn id="5" xr3:uid="{00000000-0010-0000-0000-000005000000}" name="Asset Name" dataDxfId="22" totalsRowDxfId="9"/>
    <tableColumn id="6" xr3:uid="{00000000-0010-0000-0000-000006000000}" name="Type (Stock, ETF, Bond, FX, etc.)" dataDxfId="21" totalsRowDxfId="8"/>
    <tableColumn id="7" xr3:uid="{00000000-0010-0000-0000-000007000000}" name="Quantity (positive number)" dataDxfId="20" totalsRowDxfId="7"/>
    <tableColumn id="8" xr3:uid="{00000000-0010-0000-0000-000008000000}" name="Price per Unit" dataDxfId="19" totalsRowDxfId="6">
      <calculatedColumnFormula>AD2</calculatedColumnFormula>
    </tableColumn>
    <tableColumn id="9" xr3:uid="{00000000-0010-0000-0000-000009000000}" name="Trade Currency" dataDxfId="18" totalsRowDxfId="5"/>
    <tableColumn id="10" xr3:uid="{00000000-0010-0000-0000-00000A000000}" name="Gross Trade Value (=Qty*Price)" totalsRowFunction="custom" dataDxfId="17" totalsRowDxfId="4">
      <calculatedColumnFormula>TradingLogTable[[#This Row],[Quantity (positive number)]]*TradingLogTable[[#This Row],[Price per Unit]]</calculatedColumnFormula>
      <totalsRowFormula>_xlfn.FORMULATEXT(I18)</totalsRowFormula>
    </tableColumn>
    <tableColumn id="11" xr3:uid="{00000000-0010-0000-0000-00000B000000}" name="Fees / Commission" dataDxfId="16" totalsRowDxfId="3"/>
    <tableColumn id="12" xr3:uid="{00000000-0010-0000-0000-00000C000000}" name="Net Trade Value" dataDxfId="15" totalsRowDxfId="2">
      <calculatedColumnFormula>I2+J2</calculatedColumnFormula>
    </tableColumn>
    <tableColumn id="13" xr3:uid="{00000000-0010-0000-0000-00000D000000}" name="Position After Trade (units)" dataDxfId="14" totalsRowDxfId="1"/>
    <tableColumn id="14" xr3:uid="{00000000-0010-0000-0000-00000E000000}" name="Brief Reason (or reason for no change)" dataDxfId="13" totalsRowDxfId="0"/>
  </tableColumns>
  <tableStyleInfo name="TableStyleMedium6" showFirstColumn="0" showLastColumn="0" showRowStripes="0" showColumnStripes="1"/>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
  <dimension ref="A1:A2"/>
  <sheetViews>
    <sheetView zoomScale="97" workbookViewId="0">
      <selection activeCell="E2" sqref="E2"/>
    </sheetView>
  </sheetViews>
  <sheetFormatPr defaultColWidth="8.88671875" defaultRowHeight="14.4" x14ac:dyDescent="0.3"/>
  <cols>
    <col min="1" max="1" width="110.6640625" customWidth="1"/>
  </cols>
  <sheetData>
    <row r="1" spans="1:1" ht="15.6" x14ac:dyDescent="0.3">
      <c r="A1" s="1" t="s">
        <v>0</v>
      </c>
    </row>
    <row r="2" spans="1:1" ht="259.2" x14ac:dyDescent="0.3">
      <c r="A2" s="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7912C-8864-499F-B461-37637739AD6E}">
  <sheetPr codeName="Sheet2"/>
  <dimension ref="A1:K20"/>
  <sheetViews>
    <sheetView showGridLines="0" topLeftCell="A5" zoomScale="61" workbookViewId="0">
      <selection activeCell="K9" sqref="K9"/>
    </sheetView>
  </sheetViews>
  <sheetFormatPr defaultColWidth="8.88671875" defaultRowHeight="25.2" x14ac:dyDescent="0.85"/>
  <cols>
    <col min="1" max="2" width="8.88671875" style="31"/>
    <col min="3" max="3" width="12.6640625" style="31" bestFit="1" customWidth="1"/>
    <col min="4" max="4" width="15.88671875" style="31" customWidth="1"/>
    <col min="5" max="6" width="17.109375" style="31" customWidth="1"/>
    <col min="7" max="7" width="8.88671875" style="31"/>
    <col min="8" max="8" width="35.88671875" style="31" bestFit="1" customWidth="1"/>
    <col min="9" max="9" width="8.88671875" style="31"/>
    <col min="10" max="10" width="3.6640625" style="31" customWidth="1"/>
    <col min="11" max="11" width="14.44140625" style="31" customWidth="1"/>
    <col min="12" max="16384" width="8.88671875" style="31"/>
  </cols>
  <sheetData>
    <row r="1" spans="1:11" x14ac:dyDescent="0.85">
      <c r="A1" s="60" t="e" vm="1">
        <v>#VALUE!</v>
      </c>
      <c r="B1" s="60"/>
      <c r="C1" s="60"/>
    </row>
    <row r="2" spans="1:11" x14ac:dyDescent="0.85">
      <c r="A2" s="60"/>
      <c r="B2" s="60"/>
      <c r="C2" s="60"/>
    </row>
    <row r="3" spans="1:11" x14ac:dyDescent="0.85">
      <c r="A3" s="60"/>
      <c r="B3" s="60"/>
      <c r="C3" s="60"/>
    </row>
    <row r="5" spans="1:11" x14ac:dyDescent="0.85">
      <c r="B5" s="61" t="s">
        <v>2</v>
      </c>
      <c r="C5" s="61"/>
      <c r="D5" s="61"/>
      <c r="E5" s="61"/>
      <c r="F5" s="61"/>
      <c r="G5" s="61"/>
      <c r="H5" s="61"/>
      <c r="I5" s="61"/>
      <c r="K5" s="62">
        <f>1+1</f>
        <v>2</v>
      </c>
    </row>
    <row r="6" spans="1:11" ht="45" x14ac:dyDescent="0.85">
      <c r="B6" s="61"/>
      <c r="C6" s="61"/>
      <c r="D6" s="61"/>
      <c r="E6" s="61"/>
      <c r="F6" s="61"/>
      <c r="G6" s="61"/>
      <c r="H6" s="61"/>
      <c r="I6" s="61"/>
      <c r="J6" s="37" t="s">
        <v>3</v>
      </c>
      <c r="K6" s="62"/>
    </row>
    <row r="7" spans="1:11" x14ac:dyDescent="0.85">
      <c r="B7" s="61"/>
      <c r="C7" s="61"/>
      <c r="D7" s="61"/>
      <c r="E7" s="61"/>
      <c r="F7" s="61"/>
      <c r="G7" s="61"/>
      <c r="H7" s="61"/>
      <c r="I7" s="61"/>
      <c r="K7" s="62"/>
    </row>
    <row r="8" spans="1:11" ht="8.4" customHeight="1" x14ac:dyDescent="0.85">
      <c r="B8" s="61"/>
      <c r="C8" s="61"/>
      <c r="D8" s="61"/>
      <c r="E8" s="61"/>
      <c r="F8" s="61"/>
      <c r="G8" s="61"/>
      <c r="H8" s="61"/>
      <c r="I8" s="61"/>
      <c r="K8" s="62"/>
    </row>
    <row r="11" spans="1:11" x14ac:dyDescent="0.85">
      <c r="C11" s="33"/>
      <c r="D11" s="33"/>
      <c r="G11" s="33" t="s">
        <v>4</v>
      </c>
    </row>
    <row r="12" spans="1:11" ht="33" x14ac:dyDescent="1.1000000000000001">
      <c r="B12" s="35" t="s">
        <v>5</v>
      </c>
      <c r="C12" s="34"/>
      <c r="D12" s="34"/>
      <c r="H12" s="31" t="s">
        <v>6</v>
      </c>
    </row>
    <row r="13" spans="1:11" ht="33" x14ac:dyDescent="0.85">
      <c r="B13" s="36" t="s">
        <v>7</v>
      </c>
      <c r="C13" s="34"/>
      <c r="D13" s="34"/>
      <c r="H13" s="31" t="s">
        <v>8</v>
      </c>
    </row>
    <row r="14" spans="1:11" x14ac:dyDescent="0.85">
      <c r="H14" s="31" t="s">
        <v>9</v>
      </c>
    </row>
    <row r="15" spans="1:11" x14ac:dyDescent="0.85">
      <c r="B15" s="63" t="s">
        <v>10</v>
      </c>
      <c r="C15" s="64">
        <v>46083</v>
      </c>
      <c r="D15" s="64"/>
      <c r="H15" s="31" t="s">
        <v>11</v>
      </c>
    </row>
    <row r="16" spans="1:11" x14ac:dyDescent="0.85">
      <c r="B16" s="63"/>
      <c r="C16" s="64"/>
      <c r="D16" s="64"/>
      <c r="H16" s="31" t="s">
        <v>12</v>
      </c>
    </row>
    <row r="17" spans="2:8" x14ac:dyDescent="0.85">
      <c r="H17" s="31" t="s">
        <v>13</v>
      </c>
    </row>
    <row r="18" spans="2:8" x14ac:dyDescent="0.85">
      <c r="H18" s="31" t="s">
        <v>14</v>
      </c>
    </row>
    <row r="19" spans="2:8" x14ac:dyDescent="0.85">
      <c r="H19" s="31" t="s">
        <v>15</v>
      </c>
    </row>
    <row r="20" spans="2:8" x14ac:dyDescent="0.85">
      <c r="B20" s="32"/>
    </row>
  </sheetData>
  <mergeCells count="5">
    <mergeCell ref="A1:C3"/>
    <mergeCell ref="B5:I8"/>
    <mergeCell ref="K5:K8"/>
    <mergeCell ref="B15:B16"/>
    <mergeCell ref="C15:D1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AE63"/>
  <sheetViews>
    <sheetView tabSelected="1" zoomScale="53" zoomScaleNormal="59" workbookViewId="0">
      <pane ySplit="1" topLeftCell="A12" activePane="bottomLeft" state="frozen"/>
      <selection pane="bottomLeft" activeCell="H18" sqref="H18"/>
    </sheetView>
  </sheetViews>
  <sheetFormatPr defaultColWidth="20.109375" defaultRowHeight="22.2" x14ac:dyDescent="0.75"/>
  <cols>
    <col min="1" max="1" width="20.109375" style="3" customWidth="1"/>
    <col min="2" max="2" width="27.88671875" style="3" customWidth="1"/>
    <col min="3" max="3" width="20.109375" style="3"/>
    <col min="4" max="4" width="39.88671875" style="4" bestFit="1" customWidth="1"/>
    <col min="5" max="6" width="20.109375" style="3"/>
    <col min="7" max="7" width="20.109375" style="5"/>
    <col min="8" max="9" width="20.109375" style="3"/>
    <col min="10" max="10" width="24.33203125" style="3" customWidth="1"/>
    <col min="11" max="11" width="20.109375" style="5"/>
    <col min="12" max="12" width="20.109375" style="3"/>
    <col min="13" max="14" width="39.6640625" style="6" customWidth="1"/>
    <col min="15" max="15" width="20.109375" style="3"/>
    <col min="16" max="16" width="62.33203125" style="3" bestFit="1" customWidth="1"/>
    <col min="17" max="17" width="25" style="3" customWidth="1"/>
    <col min="18" max="18" width="28" style="3" customWidth="1"/>
    <col min="19" max="26" width="20.109375" style="3"/>
    <col min="27" max="27" width="20.109375" style="3" customWidth="1"/>
    <col min="28" max="30" width="20.109375" style="3"/>
    <col min="31" max="31" width="24.5546875" style="3" customWidth="1"/>
    <col min="32" max="16384" width="20.109375" style="3"/>
  </cols>
  <sheetData>
    <row r="1" spans="1:31" s="6" customFormat="1" ht="99" x14ac:dyDescent="1.25">
      <c r="A1" s="14" t="s">
        <v>16</v>
      </c>
      <c r="B1" s="14" t="s">
        <v>17</v>
      </c>
      <c r="C1" s="14" t="s">
        <v>18</v>
      </c>
      <c r="D1" s="14" t="s">
        <v>19</v>
      </c>
      <c r="E1" s="14" t="s">
        <v>20</v>
      </c>
      <c r="F1" s="14" t="s">
        <v>21</v>
      </c>
      <c r="G1" s="15" t="s">
        <v>22</v>
      </c>
      <c r="H1" s="14" t="s">
        <v>23</v>
      </c>
      <c r="I1" s="14" t="s">
        <v>24</v>
      </c>
      <c r="J1" s="14" t="s">
        <v>25</v>
      </c>
      <c r="K1" s="15" t="s">
        <v>26</v>
      </c>
      <c r="L1" s="14" t="s">
        <v>27</v>
      </c>
      <c r="M1" s="14" t="s">
        <v>28</v>
      </c>
      <c r="N1" s="25"/>
      <c r="P1" s="30" t="s">
        <v>29</v>
      </c>
      <c r="Q1" s="30" t="s">
        <v>30</v>
      </c>
      <c r="R1" s="30" t="s">
        <v>31</v>
      </c>
      <c r="S1" s="30" t="s">
        <v>32</v>
      </c>
      <c r="T1" s="30" t="s">
        <v>33</v>
      </c>
      <c r="U1" s="30" t="s">
        <v>34</v>
      </c>
      <c r="V1" s="30" t="s">
        <v>35</v>
      </c>
      <c r="W1" s="30" t="s">
        <v>36</v>
      </c>
      <c r="X1" s="30" t="s">
        <v>37</v>
      </c>
      <c r="Y1" s="30" t="s">
        <v>38</v>
      </c>
      <c r="Z1" s="30" t="s">
        <v>39</v>
      </c>
      <c r="AA1" s="30" t="s">
        <v>40</v>
      </c>
      <c r="AB1" s="30" t="s">
        <v>41</v>
      </c>
      <c r="AC1" s="30" t="s">
        <v>42</v>
      </c>
      <c r="AD1" s="30" t="s">
        <v>43</v>
      </c>
      <c r="AE1" s="30" t="s">
        <v>44</v>
      </c>
    </row>
    <row r="2" spans="1:31" ht="44.4" x14ac:dyDescent="0.75">
      <c r="A2" s="55">
        <v>46065</v>
      </c>
      <c r="B2" s="51" t="s">
        <v>34</v>
      </c>
      <c r="C2" s="51" t="s">
        <v>46</v>
      </c>
      <c r="D2" s="51" t="s">
        <v>47</v>
      </c>
      <c r="E2" s="51" t="s">
        <v>48</v>
      </c>
      <c r="F2" s="51">
        <v>295</v>
      </c>
      <c r="G2" s="53">
        <v>684.89</v>
      </c>
      <c r="H2" s="57" t="s">
        <v>49</v>
      </c>
      <c r="I2" s="56">
        <f>TradingLogTable[[#This Row],[Quantity (positive number)]]*TradingLogTable[[#This Row],[Price per Unit]]</f>
        <v>202042.55</v>
      </c>
      <c r="J2" s="57">
        <v>10</v>
      </c>
      <c r="K2" s="58">
        <f>I2+J2</f>
        <v>202052.55</v>
      </c>
      <c r="L2" s="51">
        <v>295</v>
      </c>
      <c r="M2" s="59" t="s">
        <v>133</v>
      </c>
      <c r="N2" s="12"/>
      <c r="O2" s="3" t="str" cm="1">
        <f t="array" aca="1" ref="O2" ca="1">_FV(P2,"Ticker symbol",TRUE)</f>
        <v>SPY</v>
      </c>
      <c r="P2" s="3" t="e" vm="2">
        <v>#VALUE!</v>
      </c>
      <c r="Q2" s="3" t="str" cm="1">
        <f t="array" aca="1" ref="Q2" ca="1">_FV(P2,"Exchange abbreviation",TRUE)</f>
        <v>ARCX</v>
      </c>
      <c r="R2" s="3" t="str" cm="1">
        <f t="array" aca="1" ref="R2" ca="1">_FV(P2,"Instrument type",TRUE)</f>
        <v>ETF</v>
      </c>
      <c r="S2" s="26" cm="1">
        <f t="array" aca="1" ref="S2" ca="1">_FV(P2,"Last trade time",TRUE)</f>
        <v>46083.761099142968</v>
      </c>
      <c r="T2" s="29" cm="1">
        <f t="array" aca="1" ref="T2" ca="1">_FV(P2,"Volume")</f>
        <v>45343444</v>
      </c>
      <c r="U2" s="24" cm="1">
        <f t="array" aca="1" ref="U2" ca="1">_FV(P2,"Open")</f>
        <v>678.72</v>
      </c>
      <c r="V2" s="27" cm="1">
        <f t="array" aca="1" ref="V2" ca="1">_FV(P2,"Beta")</f>
        <v>0.99860000000000004</v>
      </c>
      <c r="W2" s="24" cm="1">
        <f t="array" aca="1" ref="W2" ca="1">_FV(P2,"Price")</f>
        <v>686.83</v>
      </c>
      <c r="X2" s="24" cm="1">
        <f t="array" aca="1" ref="X2" ca="1">_FV(P2,"Change")</f>
        <v>0.84</v>
      </c>
      <c r="Y2" s="28" cm="1">
        <f t="array" aca="1" ref="Y2" ca="1">_FV(P2,"Change (%)",TRUE)</f>
        <v>1.225E-3</v>
      </c>
      <c r="Z2" s="24" cm="1">
        <f t="array" aca="1" ref="Z2" ca="1">_FV(P2,"High")</f>
        <v>687.42</v>
      </c>
      <c r="AA2" s="24" cm="1">
        <f t="array" aca="1" ref="AA2" ca="1">_FV(P2,"Low")</f>
        <v>678.03099999999995</v>
      </c>
      <c r="AB2" s="24" cm="1">
        <f t="array" aca="1" ref="AB2" ca="1">_FV(P2,"52 week high",TRUE)</f>
        <v>697.84</v>
      </c>
      <c r="AC2" s="24" cm="1">
        <f t="array" aca="1" ref="AC2" ca="1">_FV(P2,"52 week low",TRUE)</f>
        <v>481.8</v>
      </c>
      <c r="AD2" s="24" cm="1">
        <f t="array" aca="1" ref="AD2" ca="1">_FV(P2,"Previous close",TRUE)</f>
        <v>685.99</v>
      </c>
      <c r="AE2" s="46" cm="1">
        <f t="array" aca="1" ref="AE2" ca="1">_FV(P2,"Market cap",TRUE)</f>
        <v>698270243919.53003</v>
      </c>
    </row>
    <row r="3" spans="1:31" ht="44.4" x14ac:dyDescent="0.75">
      <c r="A3" s="55">
        <v>46065</v>
      </c>
      <c r="B3" s="51" t="s">
        <v>34</v>
      </c>
      <c r="C3" s="51" t="s">
        <v>51</v>
      </c>
      <c r="D3" s="51" t="s">
        <v>52</v>
      </c>
      <c r="E3" s="51" t="s">
        <v>53</v>
      </c>
      <c r="F3" s="51">
        <v>100</v>
      </c>
      <c r="G3" s="53">
        <v>643.25</v>
      </c>
      <c r="H3" s="57" t="s">
        <v>49</v>
      </c>
      <c r="I3" s="56">
        <f>TradingLogTable[[#This Row],[Quantity (positive number)]]*TradingLogTable[[#This Row],[Price per Unit]]</f>
        <v>64325</v>
      </c>
      <c r="J3" s="57">
        <v>10</v>
      </c>
      <c r="K3" s="58">
        <f t="shared" ref="K3:K16" si="0">I3+J3</f>
        <v>64335</v>
      </c>
      <c r="L3" s="51">
        <v>100</v>
      </c>
      <c r="M3" s="59" t="s">
        <v>134</v>
      </c>
      <c r="N3" s="12"/>
      <c r="O3" s="3" t="str" cm="1">
        <f t="array" aca="1" ref="O3" ca="1">_FV(P3,"Ticker symbol",TRUE)</f>
        <v>LMT</v>
      </c>
      <c r="P3" s="3" t="e" vm="3">
        <v>#VALUE!</v>
      </c>
      <c r="Q3" s="3" t="str" cm="1">
        <f t="array" aca="1" ref="Q3" ca="1">_FV(P3,"Exchange abbreviation",TRUE)</f>
        <v>XNYS</v>
      </c>
      <c r="R3" s="3" t="str" cm="1">
        <f t="array" aca="1" ref="R3" ca="1">_FV(P3,"Instrument type",TRUE)</f>
        <v>Stock</v>
      </c>
      <c r="S3" s="26" cm="1">
        <f t="array" aca="1" ref="S3" ca="1">_FV(P3,"Last trade time",TRUE)</f>
        <v>46083.761102325778</v>
      </c>
      <c r="T3" s="29" cm="1">
        <f t="array" aca="1" ref="T3" ca="1">_FV(P3,"Volume")</f>
        <v>2051005</v>
      </c>
      <c r="U3" s="24" cm="1">
        <f t="array" aca="1" ref="U3" ca="1">_FV(P3,"Open")</f>
        <v>685.26</v>
      </c>
      <c r="V3" s="27" cm="1">
        <f t="array" aca="1" ref="V3" ca="1">_FV(P3,"Beta")</f>
        <v>0.22550000000000001</v>
      </c>
      <c r="W3" s="24" cm="1">
        <f t="array" aca="1" ref="W3" ca="1">_FV(P3,"Price")</f>
        <v>669.5</v>
      </c>
      <c r="X3" s="24" cm="1">
        <f t="array" aca="1" ref="X3" ca="1">_FV(P3,"Change")</f>
        <v>14.87</v>
      </c>
      <c r="Y3" s="28" cm="1">
        <f t="array" aca="1" ref="Y3" ca="1">_FV(P3,"Change (%)",TRUE)</f>
        <v>2.2714999999999999E-2</v>
      </c>
      <c r="Z3" s="24" cm="1">
        <f t="array" aca="1" ref="Z3" ca="1">_FV(P3,"High")</f>
        <v>692</v>
      </c>
      <c r="AA3" s="24" cm="1">
        <f t="array" aca="1" ref="AA3" ca="1">_FV(P3,"Low")</f>
        <v>664.01</v>
      </c>
      <c r="AB3" s="24" cm="1">
        <f t="array" aca="1" ref="AB3" ca="1">_FV(P3,"52 week high",TRUE)</f>
        <v>692</v>
      </c>
      <c r="AC3" s="24" cm="1">
        <f t="array" aca="1" ref="AC3" ca="1">_FV(P3,"52 week low",TRUE)</f>
        <v>410.11</v>
      </c>
      <c r="AD3" s="24" cm="1">
        <f t="array" aca="1" ref="AD3" ca="1">_FV(P3,"Previous close",TRUE)</f>
        <v>654.63</v>
      </c>
      <c r="AE3" s="46" cm="1">
        <f t="array" aca="1" ref="AE3" ca="1">_FV(P3,"Market cap",TRUE)</f>
        <v>154038693900</v>
      </c>
    </row>
    <row r="4" spans="1:31" ht="44.4" x14ac:dyDescent="0.75">
      <c r="A4" s="55">
        <v>46065</v>
      </c>
      <c r="B4" s="51" t="s">
        <v>34</v>
      </c>
      <c r="C4" s="51" t="s">
        <v>55</v>
      </c>
      <c r="D4" s="51" t="s">
        <v>56</v>
      </c>
      <c r="E4" s="51" t="s">
        <v>48</v>
      </c>
      <c r="F4" s="51">
        <v>875</v>
      </c>
      <c r="G4" s="53">
        <v>89.52</v>
      </c>
      <c r="H4" s="57" t="s">
        <v>49</v>
      </c>
      <c r="I4" s="56">
        <f>TradingLogTable[[#This Row],[Quantity (positive number)]]*TradingLogTable[[#This Row],[Price per Unit]]</f>
        <v>78330</v>
      </c>
      <c r="J4" s="57">
        <v>10</v>
      </c>
      <c r="K4" s="58">
        <f t="shared" si="0"/>
        <v>78340</v>
      </c>
      <c r="L4" s="51">
        <v>875</v>
      </c>
      <c r="M4" s="59" t="s">
        <v>135</v>
      </c>
      <c r="N4" s="12"/>
      <c r="O4" s="3" t="str" cm="1">
        <f t="array" aca="1" ref="O4" ca="1">_FV(P4,"Ticker symbol",TRUE)</f>
        <v>XLP</v>
      </c>
      <c r="P4" s="3" t="e" vm="4">
        <v>#VALUE!</v>
      </c>
      <c r="Q4" s="3" t="str" cm="1">
        <f t="array" aca="1" ref="Q4" ca="1">_FV(P4,"Exchange abbreviation",TRUE)</f>
        <v>ARCX</v>
      </c>
      <c r="R4" s="3" t="str" cm="1">
        <f t="array" aca="1" ref="R4" ca="1">_FV(P4,"Instrument type",TRUE)</f>
        <v>ETF</v>
      </c>
      <c r="S4" s="26" cm="1">
        <f t="array" aca="1" ref="S4" ca="1">_FV(P4,"Last trade time",TRUE)</f>
        <v>46083.761085671096</v>
      </c>
      <c r="T4" s="29" cm="1">
        <f t="array" aca="1" ref="T4" ca="1">_FV(P4,"Volume")</f>
        <v>13977233</v>
      </c>
      <c r="U4" s="24" cm="1">
        <f t="array" aca="1" ref="U4" ca="1">_FV(P4,"Open")</f>
        <v>89.58</v>
      </c>
      <c r="V4" s="27" cm="1">
        <f t="array" aca="1" ref="V4" ca="1">_FV(P4,"Beta")</f>
        <v>0.96619999999999995</v>
      </c>
      <c r="W4" s="24" cm="1">
        <f t="array" aca="1" ref="W4" ca="1">_FV(P4,"Price")</f>
        <v>89</v>
      </c>
      <c r="X4" s="24" cm="1">
        <f t="array" aca="1" ref="X4" ca="1">_FV(P4,"Change")</f>
        <v>-1.01</v>
      </c>
      <c r="Y4" s="28" cm="1">
        <f t="array" aca="1" ref="Y4" ca="1">_FV(P4,"Change (%)",TRUE)</f>
        <v>-1.1221000000000002E-2</v>
      </c>
      <c r="Z4" s="24" cm="1">
        <f t="array" aca="1" ref="Z4" ca="1">_FV(P4,"High")</f>
        <v>89.79</v>
      </c>
      <c r="AA4" s="24" cm="1">
        <f t="array" aca="1" ref="AA4" ca="1">_FV(P4,"Low")</f>
        <v>88.814999999999998</v>
      </c>
      <c r="AB4" s="24" cm="1">
        <f t="array" aca="1" ref="AB4" ca="1">_FV(P4,"52 week high",TRUE)</f>
        <v>90.14</v>
      </c>
      <c r="AC4" s="24" cm="1">
        <f t="array" aca="1" ref="AC4" ca="1">_FV(P4,"52 week low",TRUE)</f>
        <v>75.16</v>
      </c>
      <c r="AD4" s="24" cm="1">
        <f t="array" aca="1" ref="AD4" ca="1">_FV(P4,"Previous close",TRUE)</f>
        <v>90.01</v>
      </c>
      <c r="AE4" s="46" cm="1">
        <f t="array" aca="1" ref="AE4" ca="1">_FV(P4,"Market cap",TRUE)</f>
        <v>16153370670.969999</v>
      </c>
    </row>
    <row r="5" spans="1:31" ht="44.4" x14ac:dyDescent="0.75">
      <c r="A5" s="55">
        <v>46065</v>
      </c>
      <c r="B5" s="51" t="s">
        <v>34</v>
      </c>
      <c r="C5" s="51" t="s">
        <v>58</v>
      </c>
      <c r="D5" s="51" t="s">
        <v>59</v>
      </c>
      <c r="E5" s="51" t="s">
        <v>53</v>
      </c>
      <c r="F5" s="51">
        <v>260</v>
      </c>
      <c r="G5" s="53">
        <v>244.64</v>
      </c>
      <c r="H5" s="57" t="s">
        <v>49</v>
      </c>
      <c r="I5" s="56">
        <f>TradingLogTable[[#This Row],[Quantity (positive number)]]*TradingLogTable[[#This Row],[Price per Unit]]</f>
        <v>63606.399999999994</v>
      </c>
      <c r="J5" s="57">
        <v>10</v>
      </c>
      <c r="K5" s="58">
        <f t="shared" si="0"/>
        <v>63616.399999999994</v>
      </c>
      <c r="L5" s="51">
        <v>260</v>
      </c>
      <c r="M5" s="59" t="s">
        <v>136</v>
      </c>
      <c r="N5" s="12"/>
      <c r="O5" s="3" t="str" cm="1">
        <f t="array" aca="1" ref="O5" ca="1">_FV(P5,"Ticker symbol",TRUE)</f>
        <v>JNJ</v>
      </c>
      <c r="P5" s="3" t="e" vm="5">
        <v>#VALUE!</v>
      </c>
      <c r="Q5" s="3" t="str" cm="1">
        <f t="array" aca="1" ref="Q5" ca="1">_FV(P5,"Exchange abbreviation",TRUE)</f>
        <v>XNYS</v>
      </c>
      <c r="R5" s="3" t="str" cm="1">
        <f t="array" aca="1" ref="R5" ca="1">_FV(P5,"Instrument type",TRUE)</f>
        <v>Stock</v>
      </c>
      <c r="S5" s="26" cm="1">
        <f t="array" aca="1" ref="S5" ca="1">_FV(P5,"Last trade time",TRUE)</f>
        <v>46083.76105460625</v>
      </c>
      <c r="T5" s="29" cm="1">
        <f t="array" aca="1" ref="T5" ca="1">_FV(P5,"Volume")</f>
        <v>3404351</v>
      </c>
      <c r="U5" s="24" cm="1">
        <f t="array" aca="1" ref="U5" ca="1">_FV(P5,"Open")</f>
        <v>248.75</v>
      </c>
      <c r="V5" s="27" cm="1">
        <f t="array" aca="1" ref="V5" ca="1">_FV(P5,"Beta")</f>
        <v>0.33169999999999999</v>
      </c>
      <c r="W5" s="24" cm="1">
        <f t="array" aca="1" ref="W5" ca="1">_FV(P5,"Price")</f>
        <v>247.23439999999999</v>
      </c>
      <c r="X5" s="24" cm="1">
        <f t="array" aca="1" ref="X5" ca="1">_FV(P5,"Change")</f>
        <v>-1.1956</v>
      </c>
      <c r="Y5" s="28" cm="1">
        <f t="array" aca="1" ref="Y5" ca="1">_FV(P5,"Change (%)",TRUE)</f>
        <v>-4.8130000000000004E-3</v>
      </c>
      <c r="Z5" s="24" cm="1">
        <f t="array" aca="1" ref="Z5" ca="1">_FV(P5,"High")</f>
        <v>251.70500000000001</v>
      </c>
      <c r="AA5" s="24" cm="1">
        <f t="array" aca="1" ref="AA5" ca="1">_FV(P5,"Low")</f>
        <v>247.16</v>
      </c>
      <c r="AB5" s="24" cm="1">
        <f t="array" aca="1" ref="AB5" ca="1">_FV(P5,"52 week high",TRUE)</f>
        <v>251.70500000000001</v>
      </c>
      <c r="AC5" s="24" cm="1">
        <f t="array" aca="1" ref="AC5" ca="1">_FV(P5,"52 week low",TRUE)</f>
        <v>141.5</v>
      </c>
      <c r="AD5" s="24" cm="1">
        <f t="array" aca="1" ref="AD5" ca="1">_FV(P5,"Previous close",TRUE)</f>
        <v>248.43</v>
      </c>
      <c r="AE5" s="46" cm="1">
        <f t="array" aca="1" ref="AE5" ca="1">_FV(P5,"Market cap",TRUE)</f>
        <v>595809933325</v>
      </c>
    </row>
    <row r="6" spans="1:31" ht="44.4" x14ac:dyDescent="0.75">
      <c r="A6" s="55">
        <v>46065</v>
      </c>
      <c r="B6" s="51" t="s">
        <v>34</v>
      </c>
      <c r="C6" s="51" t="s">
        <v>61</v>
      </c>
      <c r="D6" s="51" t="s">
        <v>62</v>
      </c>
      <c r="E6" s="51" t="s">
        <v>53</v>
      </c>
      <c r="F6" s="51">
        <v>235</v>
      </c>
      <c r="G6" s="53">
        <v>162.44999999999999</v>
      </c>
      <c r="H6" s="57" t="s">
        <v>49</v>
      </c>
      <c r="I6" s="56">
        <f>TradingLogTable[[#This Row],[Quantity (positive number)]]*TradingLogTable[[#This Row],[Price per Unit]]</f>
        <v>38175.75</v>
      </c>
      <c r="J6" s="57">
        <v>10</v>
      </c>
      <c r="K6" s="58">
        <f t="shared" si="0"/>
        <v>38185.75</v>
      </c>
      <c r="L6" s="51">
        <v>235</v>
      </c>
      <c r="M6" s="59" t="s">
        <v>137</v>
      </c>
      <c r="N6" s="12"/>
      <c r="O6" s="3" t="str" cm="1">
        <f t="array" aca="1" ref="O6" ca="1">_FV(P6,"Ticker symbol",TRUE)</f>
        <v>PG</v>
      </c>
      <c r="P6" s="3" t="e" vm="6">
        <v>#VALUE!</v>
      </c>
      <c r="Q6" s="3" t="str" cm="1">
        <f t="array" aca="1" ref="Q6" ca="1">_FV(P6,"Exchange abbreviation",TRUE)</f>
        <v>XNYS</v>
      </c>
      <c r="R6" s="3" t="str" cm="1">
        <f t="array" aca="1" ref="R6" ca="1">_FV(P6,"Instrument type",TRUE)</f>
        <v>Stock</v>
      </c>
      <c r="S6" s="26" cm="1">
        <f t="array" aca="1" ref="S6" ca="1">_FV(P6,"Last trade time",TRUE)</f>
        <v>46083.761084189064</v>
      </c>
      <c r="T6" s="29" cm="1">
        <f t="array" aca="1" ref="T6" ca="1">_FV(P6,"Volume")</f>
        <v>3635965</v>
      </c>
      <c r="U6" s="24" cm="1">
        <f t="array" aca="1" ref="U6" ca="1">_FV(P6,"Open")</f>
        <v>165.75</v>
      </c>
      <c r="V6" s="27" cm="1">
        <f t="array" aca="1" ref="V6" ca="1">_FV(P6,"Beta")</f>
        <v>0.36280000000000001</v>
      </c>
      <c r="W6" s="24" cm="1">
        <f t="array" aca="1" ref="W6" ca="1">_FV(P6,"Price")</f>
        <v>164.33</v>
      </c>
      <c r="X6" s="24" cm="1">
        <f t="array" aca="1" ref="X6" ca="1">_FV(P6,"Change")</f>
        <v>-2.87</v>
      </c>
      <c r="Y6" s="28" cm="1">
        <f t="array" aca="1" ref="Y6" ca="1">_FV(P6,"Change (%)",TRUE)</f>
        <v>-1.7165E-2</v>
      </c>
      <c r="Z6" s="24" cm="1">
        <f t="array" aca="1" ref="Z6" ca="1">_FV(P6,"High")</f>
        <v>166.54499999999999</v>
      </c>
      <c r="AA6" s="24" cm="1">
        <f t="array" aca="1" ref="AA6" ca="1">_FV(P6,"Low")</f>
        <v>164.1001</v>
      </c>
      <c r="AB6" s="24" cm="1">
        <f t="array" aca="1" ref="AB6" ca="1">_FV(P6,"52 week high",TRUE)</f>
        <v>179.99</v>
      </c>
      <c r="AC6" s="24" cm="1">
        <f t="array" aca="1" ref="AC6" ca="1">_FV(P6,"52 week low",TRUE)</f>
        <v>137.62</v>
      </c>
      <c r="AD6" s="24" cm="1">
        <f t="array" aca="1" ref="AD6" ca="1">_FV(P6,"Previous close",TRUE)</f>
        <v>167.2</v>
      </c>
      <c r="AE6" s="46" cm="1">
        <f t="array" aca="1" ref="AE6" ca="1">_FV(P6,"Market cap",TRUE)</f>
        <v>381903084330</v>
      </c>
    </row>
    <row r="7" spans="1:31" ht="44.4" x14ac:dyDescent="0.75">
      <c r="A7" s="55">
        <v>46065</v>
      </c>
      <c r="B7" s="51" t="s">
        <v>34</v>
      </c>
      <c r="C7" s="51" t="s">
        <v>64</v>
      </c>
      <c r="D7" s="51" t="s">
        <v>65</v>
      </c>
      <c r="E7" s="51" t="s">
        <v>53</v>
      </c>
      <c r="F7" s="51">
        <v>570</v>
      </c>
      <c r="G7" s="53">
        <v>132.94999999999999</v>
      </c>
      <c r="H7" s="57" t="s">
        <v>49</v>
      </c>
      <c r="I7" s="56">
        <f>TradingLogTable[[#This Row],[Quantity (positive number)]]*TradingLogTable[[#This Row],[Price per Unit]]</f>
        <v>75781.5</v>
      </c>
      <c r="J7" s="57">
        <v>10</v>
      </c>
      <c r="K7" s="58">
        <f t="shared" si="0"/>
        <v>75791.5</v>
      </c>
      <c r="L7" s="51">
        <v>570</v>
      </c>
      <c r="M7" s="59" t="s">
        <v>138</v>
      </c>
      <c r="N7" s="12"/>
      <c r="O7" s="3" t="str" cm="1">
        <f t="array" aca="1" ref="O7" ca="1">_FV(P7,"Ticker symbol",TRUE)</f>
        <v>WMT</v>
      </c>
      <c r="P7" s="3" t="e" vm="7">
        <v>#VALUE!</v>
      </c>
      <c r="Q7" s="3" t="str" cm="1">
        <f t="array" aca="1" ref="Q7" ca="1">_FV(P7,"Exchange abbreviation",TRUE)</f>
        <v>XNAS</v>
      </c>
      <c r="R7" s="3" t="str" cm="1">
        <f t="array" aca="1" ref="R7" ca="1">_FV(P7,"Instrument type",TRUE)</f>
        <v>Stock</v>
      </c>
      <c r="S7" s="26" cm="1">
        <f t="array" aca="1" ref="S7" ca="1">_FV(P7,"Last trade time",TRUE)</f>
        <v>46083.761085983591</v>
      </c>
      <c r="T7" s="29" cm="1">
        <f t="array" aca="1" ref="T7" ca="1">_FV(P7,"Volume")</f>
        <v>8285228</v>
      </c>
      <c r="U7" s="24" cm="1">
        <f t="array" aca="1" ref="U7" ca="1">_FV(P7,"Open")</f>
        <v>127.5</v>
      </c>
      <c r="V7" s="27" cm="1">
        <f t="array" aca="1" ref="V7" ca="1">_FV(P7,"Beta")</f>
        <v>0.65890000000000004</v>
      </c>
      <c r="W7" s="24" cm="1">
        <f t="array" aca="1" ref="W7" ca="1">_FV(P7,"Price")</f>
        <v>127.708</v>
      </c>
      <c r="X7" s="24" cm="1">
        <f t="array" aca="1" ref="X7" ca="1">_FV(P7,"Change")</f>
        <v>-0.24199999999999999</v>
      </c>
      <c r="Y7" s="28" cm="1">
        <f t="array" aca="1" ref="Y7" ca="1">_FV(P7,"Change (%)",TRUE)</f>
        <v>-1.8909999999999999E-3</v>
      </c>
      <c r="Z7" s="24" cm="1">
        <f t="array" aca="1" ref="Z7" ca="1">_FV(P7,"High")</f>
        <v>128.74</v>
      </c>
      <c r="AA7" s="24" cm="1">
        <f t="array" aca="1" ref="AA7" ca="1">_FV(P7,"Low")</f>
        <v>127.09</v>
      </c>
      <c r="AB7" s="24" cm="1">
        <f t="array" aca="1" ref="AB7" ca="1">_FV(P7,"52 week high",TRUE)</f>
        <v>134.69</v>
      </c>
      <c r="AC7" s="24" cm="1">
        <f t="array" aca="1" ref="AC7" ca="1">_FV(P7,"52 week low",TRUE)</f>
        <v>79.81</v>
      </c>
      <c r="AD7" s="24" cm="1">
        <f t="array" aca="1" ref="AD7" ca="1">_FV(P7,"Previous close",TRUE)</f>
        <v>127.95</v>
      </c>
      <c r="AE7" s="46" cm="1">
        <f t="array" aca="1" ref="AE7" ca="1">_FV(P7,"Market cap",TRUE)</f>
        <v>1017854087236</v>
      </c>
    </row>
    <row r="8" spans="1:31" ht="37.35" customHeight="1" x14ac:dyDescent="0.75">
      <c r="A8" s="55">
        <v>46065</v>
      </c>
      <c r="B8" s="51" t="s">
        <v>34</v>
      </c>
      <c r="C8" s="51" t="s">
        <v>67</v>
      </c>
      <c r="D8" s="51" t="s">
        <v>68</v>
      </c>
      <c r="E8" s="51" t="s">
        <v>48</v>
      </c>
      <c r="F8" s="51">
        <v>800</v>
      </c>
      <c r="G8" s="53">
        <v>45.45</v>
      </c>
      <c r="H8" s="57" t="s">
        <v>49</v>
      </c>
      <c r="I8" s="56">
        <f>TradingLogTable[[#This Row],[Quantity (positive number)]]*TradingLogTable[[#This Row],[Price per Unit]]</f>
        <v>36360</v>
      </c>
      <c r="J8" s="57">
        <v>10</v>
      </c>
      <c r="K8" s="58">
        <f t="shared" si="0"/>
        <v>36370</v>
      </c>
      <c r="L8" s="51">
        <v>800</v>
      </c>
      <c r="M8" s="59" t="s">
        <v>139</v>
      </c>
      <c r="N8" s="12"/>
      <c r="O8" s="3" t="str" cm="1">
        <f t="array" aca="1" ref="O8" ca="1">_FV(P8,"Ticker symbol",TRUE)</f>
        <v>XLU</v>
      </c>
      <c r="P8" s="3" t="e" vm="8">
        <v>#VALUE!</v>
      </c>
      <c r="Q8" s="3" t="str" cm="1">
        <f t="array" aca="1" ref="Q8" ca="1">_FV(P8,"Exchange abbreviation",TRUE)</f>
        <v>ARCX</v>
      </c>
      <c r="R8" s="3" t="str" cm="1">
        <f t="array" aca="1" ref="R8" ca="1">_FV(P8,"Instrument type",TRUE)</f>
        <v>ETF</v>
      </c>
      <c r="S8" s="26" cm="1">
        <f t="array" aca="1" ref="S8" ca="1">_FV(P8,"Last trade time",TRUE)</f>
        <v>46083.761030103909</v>
      </c>
      <c r="T8" s="29" cm="1">
        <f t="array" aca="1" ref="T8" ca="1">_FV(P8,"Volume")</f>
        <v>21348412</v>
      </c>
      <c r="U8" s="24" cm="1">
        <f t="array" aca="1" ref="U8" ca="1">_FV(P8,"Open")</f>
        <v>47.41</v>
      </c>
      <c r="V8" s="27" cm="1">
        <f t="array" aca="1" ref="V8" ca="1">_FV(P8,"Beta")</f>
        <v>0.99719999999999998</v>
      </c>
      <c r="W8" s="24" cm="1">
        <f t="array" aca="1" ref="W8" ca="1">_FV(P8,"Price")</f>
        <v>47.4101</v>
      </c>
      <c r="X8" s="24" cm="1">
        <f t="array" aca="1" ref="X8" ca="1">_FV(P8,"Change")</f>
        <v>-0.31990000000000002</v>
      </c>
      <c r="Y8" s="28" cm="1">
        <f t="array" aca="1" ref="Y8" ca="1">_FV(P8,"Change (%)",TRUE)</f>
        <v>-6.7020000000000005E-3</v>
      </c>
      <c r="Z8" s="24" cm="1">
        <f t="array" aca="1" ref="Z8" ca="1">_FV(P8,"High")</f>
        <v>47.74</v>
      </c>
      <c r="AA8" s="24" cm="1">
        <f t="array" aca="1" ref="AA8" ca="1">_FV(P8,"Low")</f>
        <v>47.37</v>
      </c>
      <c r="AB8" s="24" cm="1">
        <f t="array" aca="1" ref="AB8" ca="1">_FV(P8,"52 week high",TRUE)</f>
        <v>47.8</v>
      </c>
      <c r="AC8" s="24" cm="1">
        <f t="array" aca="1" ref="AC8" ca="1">_FV(P8,"52 week low",TRUE)</f>
        <v>35.51</v>
      </c>
      <c r="AD8" s="24" cm="1">
        <f t="array" aca="1" ref="AD8" ca="1">_FV(P8,"Previous close",TRUE)</f>
        <v>47.73</v>
      </c>
      <c r="AE8" s="46" cm="1">
        <f t="array" aca="1" ref="AE8" ca="1">_FV(P8,"Market cap",TRUE)</f>
        <v>24356755083.259998</v>
      </c>
    </row>
    <row r="9" spans="1:31" ht="44.4" x14ac:dyDescent="0.75">
      <c r="A9" s="55">
        <v>46070</v>
      </c>
      <c r="B9" s="51" t="s">
        <v>34</v>
      </c>
      <c r="C9" s="51" t="s">
        <v>70</v>
      </c>
      <c r="D9" s="51" t="s">
        <v>71</v>
      </c>
      <c r="E9" s="51" t="s">
        <v>53</v>
      </c>
      <c r="F9" s="51">
        <v>230</v>
      </c>
      <c r="G9" s="53">
        <v>363.94</v>
      </c>
      <c r="H9" s="57" t="s">
        <v>49</v>
      </c>
      <c r="I9" s="56">
        <f>TradingLogTable[[#This Row],[Quantity (positive number)]]*TradingLogTable[[#This Row],[Price per Unit]]</f>
        <v>83706.2</v>
      </c>
      <c r="J9" s="57">
        <v>10</v>
      </c>
      <c r="K9" s="58">
        <f t="shared" si="0"/>
        <v>83716.2</v>
      </c>
      <c r="L9" s="51">
        <v>230</v>
      </c>
      <c r="M9" s="59" t="s">
        <v>140</v>
      </c>
      <c r="N9" s="12"/>
      <c r="O9" s="3" t="str" cm="1">
        <f t="array" aca="1" ref="O9" ca="1">_FV(P9,"Ticker symbol",TRUE)</f>
        <v>TSM</v>
      </c>
      <c r="P9" s="3" t="e" vm="9">
        <v>#VALUE!</v>
      </c>
      <c r="Q9" s="3" t="str" cm="1">
        <f t="array" aca="1" ref="Q9" ca="1">_FV(P9,"Exchange abbreviation",TRUE)</f>
        <v>XNYS</v>
      </c>
      <c r="R9" s="3" t="str" cm="1">
        <f t="array" aca="1" ref="R9" ca="1">_FV(P9,"Instrument type",TRUE)</f>
        <v>Stock</v>
      </c>
      <c r="S9" s="26" cm="1">
        <f t="array" aca="1" ref="S9" ca="1">_FV(P9,"Last trade time",TRUE)</f>
        <v>46083.761071203124</v>
      </c>
      <c r="T9" s="29" cm="1">
        <f t="array" aca="1" ref="T9" ca="1">_FV(P9,"Volume")</f>
        <v>7845377</v>
      </c>
      <c r="U9" s="24" cm="1">
        <f t="array" aca="1" ref="U9" ca="1">_FV(P9,"Open")</f>
        <v>364.84</v>
      </c>
      <c r="V9" s="27" cm="1">
        <f t="array" aca="1" ref="V9" ca="1">_FV(P9,"Beta")</f>
        <v>1.2945</v>
      </c>
      <c r="W9" s="24" cm="1">
        <f t="array" aca="1" ref="W9" ca="1">_FV(P9,"Price")</f>
        <v>371.64</v>
      </c>
      <c r="X9" s="24" cm="1">
        <f t="array" aca="1" ref="X9" ca="1">_FV(P9,"Change")</f>
        <v>-2.94</v>
      </c>
      <c r="Y9" s="28" cm="1">
        <f t="array" aca="1" ref="Y9" ca="1">_FV(P9,"Change (%)",TRUE)</f>
        <v>-7.8490000000000001E-3</v>
      </c>
      <c r="Z9" s="24" cm="1">
        <f t="array" aca="1" ref="Z9" ca="1">_FV(P9,"High")</f>
        <v>373.1</v>
      </c>
      <c r="AA9" s="24" cm="1">
        <f t="array" aca="1" ref="AA9" ca="1">_FV(P9,"Low")</f>
        <v>364.65</v>
      </c>
      <c r="AB9" s="24" cm="1">
        <f t="array" aca="1" ref="AB9" ca="1">_FV(P9,"52 week high",TRUE)</f>
        <v>390.20499999999998</v>
      </c>
      <c r="AC9" s="24" cm="1">
        <f t="array" aca="1" ref="AC9" ca="1">_FV(P9,"52 week low",TRUE)</f>
        <v>134.25</v>
      </c>
      <c r="AD9" s="24" cm="1">
        <f t="array" aca="1" ref="AD9" ca="1">_FV(P9,"Previous close",TRUE)</f>
        <v>374.58</v>
      </c>
      <c r="AE9" s="46" cm="1">
        <f t="array" aca="1" ref="AE9" ca="1">_FV(P9,"Market cap",TRUE)</f>
        <v>1927512718200</v>
      </c>
    </row>
    <row r="10" spans="1:31" ht="44.4" x14ac:dyDescent="0.75">
      <c r="A10" s="55">
        <v>46070</v>
      </c>
      <c r="B10" s="51" t="s">
        <v>34</v>
      </c>
      <c r="C10" s="51" t="s">
        <v>73</v>
      </c>
      <c r="D10" s="51" t="s">
        <v>74</v>
      </c>
      <c r="E10" s="51" t="s">
        <v>53</v>
      </c>
      <c r="F10" s="51">
        <v>110</v>
      </c>
      <c r="G10" s="53">
        <v>408.82</v>
      </c>
      <c r="H10" s="57" t="s">
        <v>49</v>
      </c>
      <c r="I10" s="56">
        <f>TradingLogTable[[#This Row],[Quantity (positive number)]]*TradingLogTable[[#This Row],[Price per Unit]]</f>
        <v>44970.2</v>
      </c>
      <c r="J10" s="57">
        <v>10</v>
      </c>
      <c r="K10" s="58">
        <f t="shared" si="0"/>
        <v>44980.2</v>
      </c>
      <c r="L10" s="51">
        <v>110</v>
      </c>
      <c r="M10" s="59" t="s">
        <v>141</v>
      </c>
      <c r="N10" s="12"/>
      <c r="O10" s="3" t="str" cm="1">
        <f t="array" aca="1" ref="O10" ca="1">_FV(P10,"Ticker symbol",TRUE)</f>
        <v>MU</v>
      </c>
      <c r="P10" s="3" t="e" vm="10">
        <v>#VALUE!</v>
      </c>
      <c r="Q10" s="3" t="str" cm="1">
        <f t="array" aca="1" ref="Q10" ca="1">_FV(P10,"Exchange abbreviation",TRUE)</f>
        <v>XNAS</v>
      </c>
      <c r="R10" s="3" t="str" cm="1">
        <f t="array" aca="1" ref="R10" ca="1">_FV(P10,"Instrument type",TRUE)</f>
        <v>Stock</v>
      </c>
      <c r="S10" s="26" cm="1">
        <f t="array" aca="1" ref="S10" ca="1">_FV(P10,"Last trade time",TRUE)</f>
        <v>46083.761108633596</v>
      </c>
      <c r="T10" s="29" cm="1">
        <f t="array" aca="1" ref="T10" ca="1">_FV(P10,"Volume")</f>
        <v>19721356</v>
      </c>
      <c r="U10" s="24" cm="1">
        <f t="array" aca="1" ref="U10" ca="1">_FV(P10,"Open")</f>
        <v>401.9</v>
      </c>
      <c r="V10" s="27" cm="1">
        <f t="array" aca="1" ref="V10" ca="1">_FV(P10,"Beta")</f>
        <v>1.5076000000000001</v>
      </c>
      <c r="W10" s="24" cm="1">
        <f t="array" aca="1" ref="W10" ca="1">_FV(P10,"Price")</f>
        <v>415.53989999999999</v>
      </c>
      <c r="X10" s="24" cm="1">
        <f t="array" aca="1" ref="X10" ca="1">_FV(P10,"Change")</f>
        <v>3.1699000000000002</v>
      </c>
      <c r="Y10" s="28" cm="1">
        <f t="array" aca="1" ref="Y10" ca="1">_FV(P10,"Change (%)",TRUE)</f>
        <v>7.6870000000000003E-3</v>
      </c>
      <c r="Z10" s="24" cm="1">
        <f t="array" aca="1" ref="Z10" ca="1">_FV(P10,"High")</f>
        <v>417.61</v>
      </c>
      <c r="AA10" s="24" cm="1">
        <f t="array" aca="1" ref="AA10" ca="1">_FV(P10,"Low")</f>
        <v>397.01010000000002</v>
      </c>
      <c r="AB10" s="24" cm="1">
        <f t="array" aca="1" ref="AB10" ca="1">_FV(P10,"52 week high",TRUE)</f>
        <v>455.5</v>
      </c>
      <c r="AC10" s="24" cm="1">
        <f t="array" aca="1" ref="AC10" ca="1">_FV(P10,"52 week low",TRUE)</f>
        <v>61.54</v>
      </c>
      <c r="AD10" s="24" cm="1">
        <f t="array" aca="1" ref="AD10" ca="1">_FV(P10,"Previous close",TRUE)</f>
        <v>412.37</v>
      </c>
      <c r="AE10" s="46" cm="1">
        <f t="array" aca="1" ref="AE10" ca="1">_FV(P10,"Market cap",TRUE)</f>
        <v>467693897309</v>
      </c>
    </row>
    <row r="11" spans="1:31" ht="44.4" x14ac:dyDescent="0.75">
      <c r="A11" s="55">
        <v>46070</v>
      </c>
      <c r="B11" s="51" t="s">
        <v>34</v>
      </c>
      <c r="C11" s="51" t="s">
        <v>76</v>
      </c>
      <c r="D11" s="51" t="s">
        <v>77</v>
      </c>
      <c r="E11" s="51" t="s">
        <v>53</v>
      </c>
      <c r="F11" s="51">
        <v>388</v>
      </c>
      <c r="G11" s="53">
        <v>131.47999999999999</v>
      </c>
      <c r="H11" s="57" t="s">
        <v>49</v>
      </c>
      <c r="I11" s="56">
        <f>TradingLogTable[[#This Row],[Quantity (positive number)]]*TradingLogTable[[#This Row],[Price per Unit]]</f>
        <v>51014.239999999998</v>
      </c>
      <c r="J11" s="57">
        <v>10</v>
      </c>
      <c r="K11" s="58">
        <f t="shared" si="0"/>
        <v>51024.24</v>
      </c>
      <c r="L11" s="51">
        <v>388</v>
      </c>
      <c r="M11" s="59" t="s">
        <v>142</v>
      </c>
      <c r="N11" s="12"/>
      <c r="O11" s="3" t="str" cm="1">
        <f t="array" aca="1" ref="O11" ca="1">_FV(P11,"Ticker symbol",TRUE)</f>
        <v>PLTR</v>
      </c>
      <c r="P11" s="3" t="e" vm="11">
        <v>#VALUE!</v>
      </c>
      <c r="Q11" s="3" t="str" cm="1">
        <f t="array" aca="1" ref="Q11" ca="1">_FV(P11,"Exchange abbreviation",TRUE)</f>
        <v>XNAS</v>
      </c>
      <c r="R11" s="3" t="str" cm="1">
        <f t="array" aca="1" ref="R11" ca="1">_FV(P11,"Instrument type",TRUE)</f>
        <v>Stock</v>
      </c>
      <c r="S11" s="26" cm="1">
        <f t="array" aca="1" ref="S11" ca="1">_FV(P11,"Last trade time",TRUE)</f>
        <v>46083.761102256249</v>
      </c>
      <c r="T11" s="29" cm="1">
        <f t="array" aca="1" ref="T11" ca="1">_FV(P11,"Volume")</f>
        <v>48561800</v>
      </c>
      <c r="U11" s="24" cm="1">
        <f t="array" aca="1" ref="U11" ca="1">_FV(P11,"Open")</f>
        <v>140.91</v>
      </c>
      <c r="V11" s="27" cm="1">
        <f t="array" aca="1" ref="V11" ca="1">_FV(P11,"Beta")</f>
        <v>1.7018</v>
      </c>
      <c r="W11" s="24" cm="1">
        <f t="array" aca="1" ref="W11" ca="1">_FV(P11,"Price")</f>
        <v>145.947</v>
      </c>
      <c r="X11" s="24" cm="1">
        <f t="array" aca="1" ref="X11" ca="1">_FV(P11,"Change")</f>
        <v>8.7569999999999997</v>
      </c>
      <c r="Y11" s="28" cm="1">
        <f t="array" aca="1" ref="Y11" ca="1">_FV(P11,"Change (%)",TRUE)</f>
        <v>6.3830999999999999E-2</v>
      </c>
      <c r="Z11" s="24" cm="1">
        <f t="array" aca="1" ref="Z11" ca="1">_FV(P11,"High")</f>
        <v>147.13999999999999</v>
      </c>
      <c r="AA11" s="24" cm="1">
        <f t="array" aca="1" ref="AA11" ca="1">_FV(P11,"Low")</f>
        <v>140.52000000000001</v>
      </c>
      <c r="AB11" s="24" cm="1">
        <f t="array" aca="1" ref="AB11" ca="1">_FV(P11,"52 week high",TRUE)</f>
        <v>207.52</v>
      </c>
      <c r="AC11" s="24" cm="1">
        <f t="array" aca="1" ref="AC11" ca="1">_FV(P11,"52 week low",TRUE)</f>
        <v>66.12</v>
      </c>
      <c r="AD11" s="24" cm="1">
        <f t="array" aca="1" ref="AD11" ca="1">_FV(P11,"Previous close",TRUE)</f>
        <v>137.19</v>
      </c>
      <c r="AE11" s="46" cm="1">
        <f t="array" aca="1" ref="AE11" ca="1">_FV(P11,"Market cap",TRUE)</f>
        <v>348911260437</v>
      </c>
    </row>
    <row r="12" spans="1:31" ht="44.4" x14ac:dyDescent="0.75">
      <c r="A12" s="55">
        <v>46070</v>
      </c>
      <c r="B12" s="51" t="s">
        <v>34</v>
      </c>
      <c r="C12" s="51" t="s">
        <v>79</v>
      </c>
      <c r="D12" s="51" t="s">
        <v>80</v>
      </c>
      <c r="E12" s="51" t="s">
        <v>53</v>
      </c>
      <c r="F12" s="51">
        <v>150</v>
      </c>
      <c r="G12" s="53">
        <v>306.82</v>
      </c>
      <c r="H12" s="57" t="s">
        <v>49</v>
      </c>
      <c r="I12" s="56">
        <f>TradingLogTable[[#This Row],[Quantity (positive number)]]*TradingLogTable[[#This Row],[Price per Unit]]</f>
        <v>46023</v>
      </c>
      <c r="J12" s="57">
        <v>10</v>
      </c>
      <c r="K12" s="58">
        <f t="shared" si="0"/>
        <v>46033</v>
      </c>
      <c r="L12" s="51">
        <v>150</v>
      </c>
      <c r="M12" s="59" t="s">
        <v>143</v>
      </c>
      <c r="N12" s="12"/>
      <c r="O12" s="3" t="str" cm="1">
        <f t="array" aca="1" ref="O12" ca="1">_FV(P12,"Ticker symbol",TRUE)</f>
        <v>JPM</v>
      </c>
      <c r="P12" s="3" t="e" vm="12">
        <v>#VALUE!</v>
      </c>
      <c r="Q12" s="3" t="str" cm="1">
        <f t="array" aca="1" ref="Q12" ca="1">_FV(P12,"Exchange abbreviation",TRUE)</f>
        <v>XNYS</v>
      </c>
      <c r="R12" s="3" t="str" cm="1">
        <f t="array" aca="1" ref="R12" ca="1">_FV(P12,"Instrument type",TRUE)</f>
        <v>Stock</v>
      </c>
      <c r="S12" s="26" cm="1">
        <f t="array" aca="1" ref="S12" ca="1">_FV(P12,"Last trade time",TRUE)</f>
        <v>46083.761086573439</v>
      </c>
      <c r="T12" s="29" cm="1">
        <f t="array" aca="1" ref="T12" ca="1">_FV(P12,"Volume")</f>
        <v>4228596</v>
      </c>
      <c r="U12" s="24" cm="1">
        <f t="array" aca="1" ref="U12" ca="1">_FV(P12,"Open")</f>
        <v>295.14999999999998</v>
      </c>
      <c r="V12" s="27" cm="1">
        <f t="array" aca="1" ref="V12" ca="1">_FV(P12,"Beta")</f>
        <v>1.0550999999999999</v>
      </c>
      <c r="W12" s="24" cm="1">
        <f t="array" aca="1" ref="W12" ca="1">_FV(P12,"Price")</f>
        <v>299.39</v>
      </c>
      <c r="X12" s="24" cm="1">
        <f t="array" aca="1" ref="X12" ca="1">_FV(P12,"Change")</f>
        <v>-0.91</v>
      </c>
      <c r="Y12" s="28" cm="1">
        <f t="array" aca="1" ref="Y12" ca="1">_FV(P12,"Change (%)",TRUE)</f>
        <v>-3.0299999999999997E-3</v>
      </c>
      <c r="Z12" s="24" cm="1">
        <f t="array" aca="1" ref="Z12" ca="1">_FV(P12,"High")</f>
        <v>299.97989999999999</v>
      </c>
      <c r="AA12" s="24" cm="1">
        <f t="array" aca="1" ref="AA12" ca="1">_FV(P12,"Low")</f>
        <v>293.23</v>
      </c>
      <c r="AB12" s="24" cm="1">
        <f t="array" aca="1" ref="AB12" ca="1">_FV(P12,"52 week high",TRUE)</f>
        <v>337.25</v>
      </c>
      <c r="AC12" s="24" cm="1">
        <f t="array" aca="1" ref="AC12" ca="1">_FV(P12,"52 week low",TRUE)</f>
        <v>202.16</v>
      </c>
      <c r="AD12" s="24" cm="1">
        <f t="array" aca="1" ref="AD12" ca="1">_FV(P12,"Previous close",TRUE)</f>
        <v>300.3</v>
      </c>
      <c r="AE12" s="46" cm="1">
        <f t="array" aca="1" ref="AE12" ca="1">_FV(P12,"Market cap",TRUE)</f>
        <v>807464410480</v>
      </c>
    </row>
    <row r="13" spans="1:31" ht="44.4" x14ac:dyDescent="0.75">
      <c r="A13" s="55">
        <v>46070</v>
      </c>
      <c r="B13" s="51" t="s">
        <v>34</v>
      </c>
      <c r="C13" s="51" t="s">
        <v>82</v>
      </c>
      <c r="D13" s="51" t="s">
        <v>83</v>
      </c>
      <c r="E13" s="51" t="s">
        <v>53</v>
      </c>
      <c r="F13" s="51">
        <v>250</v>
      </c>
      <c r="G13" s="53">
        <v>200.87</v>
      </c>
      <c r="H13" s="57" t="s">
        <v>49</v>
      </c>
      <c r="I13" s="56">
        <f>TradingLogTable[[#This Row],[Quantity (positive number)]]*TradingLogTable[[#This Row],[Price per Unit]]</f>
        <v>50217.5</v>
      </c>
      <c r="J13" s="57">
        <v>10</v>
      </c>
      <c r="K13" s="58">
        <f t="shared" si="0"/>
        <v>50227.5</v>
      </c>
      <c r="L13" s="51">
        <v>250</v>
      </c>
      <c r="M13" s="59" t="s">
        <v>144</v>
      </c>
      <c r="N13" s="12"/>
      <c r="O13" s="3" t="str" cm="1">
        <f t="array" aca="1" ref="O13" ca="1">_FV(P13,"Ticker symbol",TRUE)</f>
        <v>AMZN</v>
      </c>
      <c r="P13" s="3" t="e" vm="13">
        <v>#VALUE!</v>
      </c>
      <c r="Q13" s="3" t="str" cm="1">
        <f t="array" aca="1" ref="Q13" ca="1">_FV(P13,"Exchange abbreviation",TRUE)</f>
        <v>XNAS</v>
      </c>
      <c r="R13" s="3" t="str" cm="1">
        <f t="array" aca="1" ref="R13" ca="1">_FV(P13,"Instrument type",TRUE)</f>
        <v>Stock</v>
      </c>
      <c r="S13" s="26" cm="1">
        <f t="array" aca="1" ref="S13" ca="1">_FV(P13,"Last trade time",TRUE)</f>
        <v>46083.761099803123</v>
      </c>
      <c r="T13" s="29" cm="1">
        <f t="array" aca="1" ref="T13" ca="1">_FV(P13,"Volume")</f>
        <v>25063721</v>
      </c>
      <c r="U13" s="24" cm="1">
        <f t="array" aca="1" ref="U13" ca="1">_FV(P13,"Open")</f>
        <v>204.25</v>
      </c>
      <c r="V13" s="27" cm="1">
        <f t="array" aca="1" ref="V13" ca="1">_FV(P13,"Beta")</f>
        <v>1.4045000000000001</v>
      </c>
      <c r="W13" s="24" cm="1">
        <f t="array" aca="1" ref="W13" ca="1">_FV(P13,"Price")</f>
        <v>208.80500000000001</v>
      </c>
      <c r="X13" s="24" cm="1">
        <f t="array" aca="1" ref="X13" ca="1">_FV(P13,"Change")</f>
        <v>-1.1950000000000001</v>
      </c>
      <c r="Y13" s="28" cm="1">
        <f t="array" aca="1" ref="Y13" ca="1">_FV(P13,"Change (%)",TRUE)</f>
        <v>-5.6899999999999997E-3</v>
      </c>
      <c r="Z13" s="24" cm="1">
        <f t="array" aca="1" ref="Z13" ca="1">_FV(P13,"High")</f>
        <v>209.43</v>
      </c>
      <c r="AA13" s="24" cm="1">
        <f t="array" aca="1" ref="AA13" ca="1">_FV(P13,"Low")</f>
        <v>203.48</v>
      </c>
      <c r="AB13" s="24" cm="1">
        <f t="array" aca="1" ref="AB13" ca="1">_FV(P13,"52 week high",TRUE)</f>
        <v>258.60000000000002</v>
      </c>
      <c r="AC13" s="24" cm="1">
        <f t="array" aca="1" ref="AC13" ca="1">_FV(P13,"52 week low",TRUE)</f>
        <v>161.38</v>
      </c>
      <c r="AD13" s="24" cm="1">
        <f t="array" aca="1" ref="AD13" ca="1">_FV(P13,"Previous close",TRUE)</f>
        <v>210</v>
      </c>
      <c r="AE13" s="46" cm="1">
        <f t="array" aca="1" ref="AE13" ca="1">_FV(P13,"Market cap",TRUE)</f>
        <v>2241504970600</v>
      </c>
    </row>
    <row r="14" spans="1:31" ht="44.4" x14ac:dyDescent="0.75">
      <c r="A14" s="55">
        <v>46070</v>
      </c>
      <c r="B14" s="51" t="s">
        <v>34</v>
      </c>
      <c r="C14" s="51" t="s">
        <v>85</v>
      </c>
      <c r="D14" s="51" t="s">
        <v>86</v>
      </c>
      <c r="E14" s="51" t="s">
        <v>53</v>
      </c>
      <c r="F14" s="51">
        <v>130</v>
      </c>
      <c r="G14" s="53">
        <v>302.22000000000003</v>
      </c>
      <c r="H14" s="57" t="s">
        <v>49</v>
      </c>
      <c r="I14" s="56">
        <f>TradingLogTable[[#This Row],[Quantity (positive number)]]*TradingLogTable[[#This Row],[Price per Unit]]</f>
        <v>39288.600000000006</v>
      </c>
      <c r="J14" s="57">
        <v>10</v>
      </c>
      <c r="K14" s="58">
        <f t="shared" si="0"/>
        <v>39298.600000000006</v>
      </c>
      <c r="L14" s="51">
        <v>130</v>
      </c>
      <c r="M14" s="59" t="s">
        <v>145</v>
      </c>
      <c r="N14" s="12"/>
      <c r="O14" s="3" t="str" cm="1">
        <f t="array" aca="1" ref="O14" ca="1">_FV(P14,"Ticker symbol",TRUE)</f>
        <v>GOOGL</v>
      </c>
      <c r="P14" s="3" t="e" vm="14">
        <v>#VALUE!</v>
      </c>
      <c r="Q14" s="3" t="str" cm="1">
        <f t="array" aca="1" ref="Q14" ca="1">_FV(P14,"Exchange abbreviation",TRUE)</f>
        <v>XNAS</v>
      </c>
      <c r="R14" s="3" t="str" cm="1">
        <f t="array" aca="1" ref="R14" ca="1">_FV(P14,"Instrument type",TRUE)</f>
        <v>Stock</v>
      </c>
      <c r="S14" s="26" cm="1">
        <f t="array" aca="1" ref="S14" ca="1">_FV(P14,"Last trade time",TRUE)</f>
        <v>46083.76111994141</v>
      </c>
      <c r="T14" s="29" cm="1">
        <f t="array" aca="1" ref="T14" ca="1">_FV(P14,"Volume")</f>
        <v>14616736</v>
      </c>
      <c r="U14" s="24" cm="1">
        <f t="array" aca="1" ref="U14" ca="1">_FV(P14,"Open")</f>
        <v>303.16000000000003</v>
      </c>
      <c r="V14" s="27" cm="1">
        <f t="array" aca="1" ref="V14" ca="1">_FV(P14,"Beta")</f>
        <v>1.0972</v>
      </c>
      <c r="W14" s="24" cm="1">
        <f t="array" aca="1" ref="W14" ca="1">_FV(P14,"Price")</f>
        <v>307.14999999999998</v>
      </c>
      <c r="X14" s="24" cm="1">
        <f t="array" aca="1" ref="X14" ca="1">_FV(P14,"Change")</f>
        <v>-4.6100000000000003</v>
      </c>
      <c r="Y14" s="28" cm="1">
        <f t="array" aca="1" ref="Y14" ca="1">_FV(P14,"Change (%)",TRUE)</f>
        <v>-1.4787E-2</v>
      </c>
      <c r="Z14" s="24" cm="1">
        <f t="array" aca="1" ref="Z14" ca="1">_FV(P14,"High")</f>
        <v>308.49</v>
      </c>
      <c r="AA14" s="24" cm="1">
        <f t="array" aca="1" ref="AA14" ca="1">_FV(P14,"Low")</f>
        <v>301.3</v>
      </c>
      <c r="AB14" s="24" cm="1">
        <f t="array" aca="1" ref="AB14" ca="1">_FV(P14,"52 week high",TRUE)</f>
        <v>349</v>
      </c>
      <c r="AC14" s="24" cm="1">
        <f t="array" aca="1" ref="AC14" ca="1">_FV(P14,"52 week low",TRUE)</f>
        <v>140.53</v>
      </c>
      <c r="AD14" s="24" cm="1">
        <f t="array" aca="1" ref="AD14" ca="1">_FV(P14,"Previous close",TRUE)</f>
        <v>311.76</v>
      </c>
      <c r="AE14" s="46" cm="1">
        <f t="array" aca="1" ref="AE14" ca="1">_FV(P14,"Market cap",TRUE)</f>
        <v>3715593549999</v>
      </c>
    </row>
    <row r="15" spans="1:31" ht="44.4" x14ac:dyDescent="0.75">
      <c r="A15" s="55">
        <v>46070</v>
      </c>
      <c r="B15" s="51" t="s">
        <v>34</v>
      </c>
      <c r="C15" s="51" t="s">
        <v>88</v>
      </c>
      <c r="D15" s="51" t="s">
        <v>89</v>
      </c>
      <c r="E15" s="51" t="s">
        <v>53</v>
      </c>
      <c r="F15" s="51">
        <v>140</v>
      </c>
      <c r="G15" s="53">
        <v>329.44</v>
      </c>
      <c r="H15" s="57" t="s">
        <v>49</v>
      </c>
      <c r="I15" s="56">
        <f>TradingLogTable[[#This Row],[Quantity (positive number)]]*TradingLogTable[[#This Row],[Price per Unit]]</f>
        <v>46121.599999999999</v>
      </c>
      <c r="J15" s="57">
        <v>10</v>
      </c>
      <c r="K15" s="58">
        <f t="shared" si="0"/>
        <v>46131.6</v>
      </c>
      <c r="L15" s="51">
        <v>140</v>
      </c>
      <c r="M15" s="59" t="s">
        <v>146</v>
      </c>
      <c r="N15" s="12"/>
      <c r="O15" s="3" t="str" cm="1">
        <f t="array" aca="1" ref="O15" ca="1">_FV(P15,"Ticker symbol",TRUE)</f>
        <v>GE</v>
      </c>
      <c r="P15" s="3" t="e" vm="15">
        <v>#VALUE!</v>
      </c>
      <c r="Q15" s="3" t="str" cm="1">
        <f t="array" aca="1" ref="Q15" ca="1">_FV(P15,"Exchange abbreviation",TRUE)</f>
        <v>XNYS</v>
      </c>
      <c r="R15" s="3" t="str" cm="1">
        <f t="array" aca="1" ref="R15" ca="1">_FV(P15,"Instrument type",TRUE)</f>
        <v>Stock</v>
      </c>
      <c r="S15" s="26" cm="1">
        <f t="array" aca="1" ref="S15" ca="1">_FV(P15,"Last trade time",TRUE)</f>
        <v>46083.761112707813</v>
      </c>
      <c r="T15" s="29" cm="1">
        <f t="array" aca="1" ref="T15" ca="1">_FV(P15,"Volume")</f>
        <v>2112236</v>
      </c>
      <c r="U15" s="24" cm="1">
        <f t="array" aca="1" ref="U15" ca="1">_FV(P15,"Open")</f>
        <v>341.67</v>
      </c>
      <c r="V15" s="27" cm="1">
        <f t="array" aca="1" ref="V15" ca="1">_FV(P15,"Beta")</f>
        <v>1.3764000000000001</v>
      </c>
      <c r="W15" s="24" cm="1">
        <f t="array" aca="1" ref="W15" ca="1">_FV(P15,"Price")</f>
        <v>345.53</v>
      </c>
      <c r="X15" s="24" cm="1">
        <f t="array" aca="1" ref="X15" ca="1">_FV(P15,"Change")</f>
        <v>3.27</v>
      </c>
      <c r="Y15" s="28" cm="1">
        <f t="array" aca="1" ref="Y15" ca="1">_FV(P15,"Change (%)",TRUE)</f>
        <v>9.554E-3</v>
      </c>
      <c r="Z15" s="24" cm="1">
        <f t="array" aca="1" ref="Z15" ca="1">_FV(P15,"High")</f>
        <v>346</v>
      </c>
      <c r="AA15" s="24" cm="1">
        <f t="array" aca="1" ref="AA15" ca="1">_FV(P15,"Low")</f>
        <v>335.33</v>
      </c>
      <c r="AB15" s="24" cm="1">
        <f t="array" aca="1" ref="AB15" ca="1">_FV(P15,"52 week high",TRUE)</f>
        <v>348.48</v>
      </c>
      <c r="AC15" s="24" cm="1">
        <f t="array" aca="1" ref="AC15" ca="1">_FV(P15,"52 week low",TRUE)</f>
        <v>159.36000000000001</v>
      </c>
      <c r="AD15" s="24" cm="1">
        <f t="array" aca="1" ref="AD15" ca="1">_FV(P15,"Previous close",TRUE)</f>
        <v>342.26</v>
      </c>
      <c r="AE15" s="46" cm="1">
        <f t="array" aca="1" ref="AE15" ca="1">_FV(P15,"Market cap",TRUE)</f>
        <v>362396701420</v>
      </c>
    </row>
    <row r="16" spans="1:31" ht="44.4" x14ac:dyDescent="0.75">
      <c r="A16" s="55">
        <v>46070</v>
      </c>
      <c r="B16" s="51" t="s">
        <v>34</v>
      </c>
      <c r="C16" s="51" t="s">
        <v>91</v>
      </c>
      <c r="D16" s="51" t="s">
        <v>92</v>
      </c>
      <c r="E16" s="51" t="s">
        <v>53</v>
      </c>
      <c r="F16" s="51">
        <v>800</v>
      </c>
      <c r="G16" s="53">
        <v>33.6</v>
      </c>
      <c r="H16" s="57" t="s">
        <v>49</v>
      </c>
      <c r="I16" s="56">
        <f>TradingLogTable[[#This Row],[Quantity (positive number)]]*TradingLogTable[[#This Row],[Price per Unit]]</f>
        <v>26880</v>
      </c>
      <c r="J16" s="57">
        <v>10</v>
      </c>
      <c r="K16" s="58">
        <f t="shared" si="0"/>
        <v>26890</v>
      </c>
      <c r="L16" s="51">
        <v>800</v>
      </c>
      <c r="M16" s="59" t="s">
        <v>147</v>
      </c>
      <c r="N16" s="12"/>
      <c r="O16" s="3" t="str" cm="1">
        <f t="array" aca="1" ref="O16" ca="1">_FV(P16,"Ticker symbol",TRUE)</f>
        <v>IONQ</v>
      </c>
      <c r="P16" s="3" t="e" vm="16">
        <v>#VALUE!</v>
      </c>
      <c r="Q16" s="3" t="str" cm="1">
        <f t="array" aca="1" ref="Q16" ca="1">_FV(P16,"Exchange abbreviation",TRUE)</f>
        <v>XNYS</v>
      </c>
      <c r="R16" s="3" t="str" cm="1">
        <f t="array" aca="1" ref="R16" ca="1">_FV(P16,"Instrument type",TRUE)</f>
        <v>Stock</v>
      </c>
      <c r="S16" s="26" cm="1">
        <f t="array" aca="1" ref="S16" ca="1">_FV(P16,"Last trade time",TRUE)</f>
        <v>46083.761082245313</v>
      </c>
      <c r="T16" s="29" cm="1">
        <f t="array" aca="1" ref="T16" ca="1">_FV(P16,"Volume")</f>
        <v>11165244</v>
      </c>
      <c r="U16" s="24" cm="1">
        <f t="array" aca="1" ref="U16" ca="1">_FV(P16,"Open")</f>
        <v>36.49</v>
      </c>
      <c r="V16" s="27" cm="1">
        <f t="array" aca="1" ref="V16" ca="1">_FV(P16,"Beta")</f>
        <v>2.6114999999999999</v>
      </c>
      <c r="W16" s="24" cm="1">
        <f t="array" aca="1" ref="W16" ca="1">_FV(P16,"Price")</f>
        <v>37.630000000000003</v>
      </c>
      <c r="X16" s="24" cm="1">
        <f t="array" aca="1" ref="X16" ca="1">_FV(P16,"Change")</f>
        <v>-0.74</v>
      </c>
      <c r="Y16" s="28" cm="1">
        <f t="array" aca="1" ref="Y16" ca="1">_FV(P16,"Change (%)",TRUE)</f>
        <v>-1.9286000000000001E-2</v>
      </c>
      <c r="Z16" s="24" cm="1">
        <f t="array" aca="1" ref="Z16" ca="1">_FV(P16,"High")</f>
        <v>38.409999999999997</v>
      </c>
      <c r="AA16" s="24" cm="1">
        <f t="array" aca="1" ref="AA16" ca="1">_FV(P16,"Low")</f>
        <v>36.4</v>
      </c>
      <c r="AB16" s="24" cm="1">
        <f t="array" aca="1" ref="AB16" ca="1">_FV(P16,"52 week high",TRUE)</f>
        <v>84.64</v>
      </c>
      <c r="AC16" s="24" cm="1">
        <f t="array" aca="1" ref="AC16" ca="1">_FV(P16,"52 week low",TRUE)</f>
        <v>17.88</v>
      </c>
      <c r="AD16" s="24" cm="1">
        <f t="array" aca="1" ref="AD16" ca="1">_FV(P16,"Previous close",TRUE)</f>
        <v>38.369999999999997</v>
      </c>
      <c r="AE16" s="46" cm="1">
        <f t="array" aca="1" ref="AE16" ca="1">_FV(P16,"Market cap",TRUE)</f>
        <v>13796689541</v>
      </c>
    </row>
    <row r="17" spans="1:31" ht="22.8" thickBot="1" x14ac:dyDescent="0.8">
      <c r="A17" s="55"/>
      <c r="B17" s="51"/>
      <c r="C17" s="51"/>
      <c r="D17" s="51"/>
      <c r="E17" s="51"/>
      <c r="F17" s="51"/>
      <c r="G17" s="70"/>
      <c r="H17" s="57"/>
      <c r="I17" s="71"/>
      <c r="J17" s="57"/>
      <c r="K17" s="58"/>
      <c r="L17" s="51"/>
      <c r="M17" s="59"/>
      <c r="N17" s="12"/>
      <c r="O17" s="3" t="str" cm="1">
        <f t="array" aca="1" ref="O17" ca="1">_FV(P17,"Ticker symbol",TRUE)</f>
        <v>XLE</v>
      </c>
      <c r="P17" s="3" t="e" vm="17">
        <v>#VALUE!</v>
      </c>
      <c r="Q17" s="3" t="str" cm="1">
        <f t="array" aca="1" ref="Q17" ca="1">_FV(P17,"Exchange abbreviation",TRUE)</f>
        <v>ARCX</v>
      </c>
      <c r="R17" s="3" t="str" cm="1">
        <f t="array" aca="1" ref="R17" ca="1">_FV(P17,"Instrument type",TRUE)</f>
        <v>ETF</v>
      </c>
      <c r="S17" s="26" cm="1">
        <f t="array" aca="1" ref="S17" ca="1">_FV(P17,"Last trade time",TRUE)</f>
        <v>46083.761069305467</v>
      </c>
      <c r="T17" s="29" cm="1">
        <f t="array" aca="1" ref="T17" ca="1">_FV(P17,"Volume")</f>
        <v>87183439</v>
      </c>
      <c r="U17" s="24" cm="1">
        <f t="array" aca="1" ref="U17" ca="1">_FV(P17,"Open")</f>
        <v>57.88</v>
      </c>
      <c r="V17" s="27" cm="1">
        <f t="array" aca="1" ref="V17" ca="1">_FV(P17,"Beta")</f>
        <v>1.1346000000000001</v>
      </c>
      <c r="W17" s="24" cm="1">
        <f t="array" aca="1" ref="W17" ca="1">_FV(P17,"Price")</f>
        <v>56.78</v>
      </c>
      <c r="X17" s="24" cm="1">
        <f t="array" aca="1" ref="X17" ca="1">_FV(P17,"Change")</f>
        <v>0.86</v>
      </c>
      <c r="Y17" s="28" cm="1">
        <f t="array" aca="1" ref="Y17" ca="1">_FV(P17,"Change (%)",TRUE)</f>
        <v>1.5379E-2</v>
      </c>
      <c r="Z17" s="24" cm="1">
        <f t="array" aca="1" ref="Z17" ca="1">_FV(P17,"High")</f>
        <v>57.88</v>
      </c>
      <c r="AA17" s="24" cm="1">
        <f t="array" aca="1" ref="AA17" ca="1">_FV(P17,"Low")</f>
        <v>56.27</v>
      </c>
      <c r="AB17" s="24" cm="1">
        <f t="array" aca="1" ref="AB17" ca="1">_FV(P17,"52 week high",TRUE)</f>
        <v>57.88</v>
      </c>
      <c r="AC17" s="24" cm="1">
        <f t="array" aca="1" ref="AC17" ca="1">_FV(P17,"52 week low",TRUE)</f>
        <v>37.244999999999997</v>
      </c>
      <c r="AD17" s="24" cm="1">
        <f t="array" aca="1" ref="AD17" ca="1">_FV(P17,"Previous close",TRUE)</f>
        <v>55.92</v>
      </c>
      <c r="AE17" s="46" cm="1">
        <f t="array" aca="1" ref="AE17" ca="1">_FV(P17,"Market cap",TRUE)</f>
        <v>32989736180.689999</v>
      </c>
    </row>
    <row r="18" spans="1:31" ht="82.2" thickBot="1" x14ac:dyDescent="0.8">
      <c r="A18" s="7">
        <v>46083</v>
      </c>
      <c r="B18" s="8" t="s">
        <v>45</v>
      </c>
      <c r="C18" s="8" t="s">
        <v>46</v>
      </c>
      <c r="D18" s="8" t="s">
        <v>47</v>
      </c>
      <c r="E18" s="8" t="s">
        <v>48</v>
      </c>
      <c r="F18" s="8">
        <v>295</v>
      </c>
      <c r="G18" s="53">
        <v>684.89</v>
      </c>
      <c r="H18" s="10" t="s">
        <v>49</v>
      </c>
      <c r="I18" s="9">
        <f>TradingLogTable[[#This Row],[Quantity (positive number)]]*TradingLogTable[[#This Row],[Price per Unit]]</f>
        <v>202042.55</v>
      </c>
      <c r="J18" s="10">
        <v>10</v>
      </c>
      <c r="K18" s="11">
        <f t="shared" ref="K18:K32" si="1">I18+J18</f>
        <v>202052.55</v>
      </c>
      <c r="L18" s="8">
        <v>295</v>
      </c>
      <c r="M18" s="47" t="s">
        <v>50</v>
      </c>
      <c r="N18" s="12"/>
      <c r="O18" s="3" t="str" cm="1">
        <f t="array" aca="1" ref="O18" ca="1">_FV(P18,"Ticker symbol",TRUE)</f>
        <v>XOM</v>
      </c>
      <c r="P18" s="3" t="e" vm="18">
        <v>#VALUE!</v>
      </c>
      <c r="Q18" s="3" t="str" cm="1">
        <f t="array" aca="1" ref="Q18" ca="1">_FV(P18,"Exchange abbreviation",TRUE)</f>
        <v>XNYS</v>
      </c>
      <c r="R18" s="3" t="str" cm="1">
        <f t="array" aca="1" ref="R18" ca="1">_FV(P18,"Instrument type",TRUE)</f>
        <v>Stock</v>
      </c>
      <c r="S18" s="26" cm="1">
        <f t="array" aca="1" ref="S18" ca="1">_FV(P18,"Last trade time",TRUE)</f>
        <v>46083.761111492968</v>
      </c>
      <c r="T18" s="29" cm="1">
        <f t="array" aca="1" ref="T18" ca="1">_FV(P18,"Volume")</f>
        <v>19589371</v>
      </c>
      <c r="U18" s="24" cm="1">
        <f t="array" aca="1" ref="U18" ca="1">_FV(P18,"Open")</f>
        <v>159.37</v>
      </c>
      <c r="V18" s="27" cm="1">
        <f t="array" aca="1" ref="V18" ca="1">_FV(P18,"Beta")</f>
        <v>0.34720000000000001</v>
      </c>
      <c r="W18" s="24" cm="1">
        <f t="array" aca="1" ref="W18" ca="1">_FV(P18,"Price")</f>
        <v>154.25</v>
      </c>
      <c r="X18" s="24" cm="1">
        <f t="array" aca="1" ref="X18" ca="1">_FV(P18,"Change")</f>
        <v>1.75</v>
      </c>
      <c r="Y18" s="28" cm="1">
        <f t="array" aca="1" ref="Y18" ca="1">_FV(P18,"Change (%)",TRUE)</f>
        <v>1.1474999999999999E-2</v>
      </c>
      <c r="Z18" s="24" cm="1">
        <f t="array" aca="1" ref="Z18" ca="1">_FV(P18,"High")</f>
        <v>159.37</v>
      </c>
      <c r="AA18" s="24" cm="1">
        <f t="array" aca="1" ref="AA18" ca="1">_FV(P18,"Low")</f>
        <v>153.03</v>
      </c>
      <c r="AB18" s="24" cm="1">
        <f t="array" aca="1" ref="AB18" ca="1">_FV(P18,"52 week high",TRUE)</f>
        <v>159.37</v>
      </c>
      <c r="AC18" s="24" cm="1">
        <f t="array" aca="1" ref="AC18" ca="1">_FV(P18,"52 week low",TRUE)</f>
        <v>97.8</v>
      </c>
      <c r="AD18" s="24" cm="1">
        <f t="array" aca="1" ref="AD18" ca="1">_FV(P18,"Previous close",TRUE)</f>
        <v>152.5</v>
      </c>
      <c r="AE18" s="46" cm="1">
        <f t="array" aca="1" ref="AE18" ca="1">_FV(P18,"Market cap",TRUE)</f>
        <v>642723347000</v>
      </c>
    </row>
    <row r="19" spans="1:31" ht="102.6" thickBot="1" x14ac:dyDescent="0.8">
      <c r="A19" s="7">
        <v>46083</v>
      </c>
      <c r="B19" s="8" t="s">
        <v>45</v>
      </c>
      <c r="C19" s="8" t="s">
        <v>51</v>
      </c>
      <c r="D19" s="8" t="s">
        <v>52</v>
      </c>
      <c r="E19" s="8" t="s">
        <v>53</v>
      </c>
      <c r="F19" s="8">
        <v>100</v>
      </c>
      <c r="G19" s="53">
        <v>643.25</v>
      </c>
      <c r="H19" s="10" t="s">
        <v>49</v>
      </c>
      <c r="I19" s="9">
        <f>TradingLogTable[[#This Row],[Quantity (positive number)]]*TradingLogTable[[#This Row],[Price per Unit]]</f>
        <v>64325</v>
      </c>
      <c r="J19" s="10">
        <v>10</v>
      </c>
      <c r="K19" s="11">
        <f t="shared" si="1"/>
        <v>64335</v>
      </c>
      <c r="L19" s="8">
        <v>100</v>
      </c>
      <c r="M19" s="47" t="s">
        <v>54</v>
      </c>
      <c r="N19" s="12"/>
    </row>
    <row r="20" spans="1:31" ht="102.6" thickBot="1" x14ac:dyDescent="0.8">
      <c r="A20" s="7">
        <v>46083</v>
      </c>
      <c r="B20" s="8" t="s">
        <v>45</v>
      </c>
      <c r="C20" s="8" t="s">
        <v>55</v>
      </c>
      <c r="D20" s="8" t="s">
        <v>56</v>
      </c>
      <c r="E20" s="8" t="s">
        <v>48</v>
      </c>
      <c r="F20" s="8">
        <v>875</v>
      </c>
      <c r="G20" s="53">
        <v>89.52</v>
      </c>
      <c r="H20" s="10" t="s">
        <v>49</v>
      </c>
      <c r="I20" s="9">
        <f>TradingLogTable[[#This Row],[Quantity (positive number)]]*TradingLogTable[[#This Row],[Price per Unit]]</f>
        <v>78330</v>
      </c>
      <c r="J20" s="10">
        <v>10</v>
      </c>
      <c r="K20" s="11">
        <f t="shared" si="1"/>
        <v>78340</v>
      </c>
      <c r="L20" s="8">
        <v>875</v>
      </c>
      <c r="M20" s="47" t="s">
        <v>57</v>
      </c>
      <c r="N20" s="12"/>
    </row>
    <row r="21" spans="1:31" ht="61.8" thickBot="1" x14ac:dyDescent="0.8">
      <c r="A21" s="7">
        <v>46083</v>
      </c>
      <c r="B21" s="8" t="s">
        <v>45</v>
      </c>
      <c r="C21" s="8" t="s">
        <v>58</v>
      </c>
      <c r="D21" s="8" t="s">
        <v>59</v>
      </c>
      <c r="E21" s="8" t="s">
        <v>53</v>
      </c>
      <c r="F21" s="8">
        <v>260</v>
      </c>
      <c r="G21" s="53">
        <v>244.64</v>
      </c>
      <c r="H21" s="10" t="s">
        <v>49</v>
      </c>
      <c r="I21" s="9">
        <f>TradingLogTable[[#This Row],[Quantity (positive number)]]*TradingLogTable[[#This Row],[Price per Unit]]</f>
        <v>63606.399999999994</v>
      </c>
      <c r="J21" s="10">
        <v>10</v>
      </c>
      <c r="K21" s="11">
        <f t="shared" si="1"/>
        <v>63616.399999999994</v>
      </c>
      <c r="L21" s="8">
        <v>260</v>
      </c>
      <c r="M21" s="47" t="s">
        <v>60</v>
      </c>
    </row>
    <row r="22" spans="1:31" ht="61.8" thickBot="1" x14ac:dyDescent="0.8">
      <c r="A22" s="7">
        <v>46083</v>
      </c>
      <c r="B22" s="8" t="s">
        <v>45</v>
      </c>
      <c r="C22" s="8" t="s">
        <v>61</v>
      </c>
      <c r="D22" s="8" t="s">
        <v>62</v>
      </c>
      <c r="E22" s="8" t="s">
        <v>53</v>
      </c>
      <c r="F22" s="8">
        <v>235</v>
      </c>
      <c r="G22" s="53">
        <v>162.44999999999999</v>
      </c>
      <c r="H22" s="10" t="s">
        <v>49</v>
      </c>
      <c r="I22" s="9">
        <f>TradingLogTable[[#This Row],[Quantity (positive number)]]*TradingLogTable[[#This Row],[Price per Unit]]</f>
        <v>38175.75</v>
      </c>
      <c r="J22" s="10">
        <v>10</v>
      </c>
      <c r="K22" s="11">
        <f t="shared" si="1"/>
        <v>38185.75</v>
      </c>
      <c r="L22" s="8">
        <v>235</v>
      </c>
      <c r="M22" s="47" t="s">
        <v>63</v>
      </c>
    </row>
    <row r="23" spans="1:31" ht="143.4" thickBot="1" x14ac:dyDescent="0.8">
      <c r="A23" s="7">
        <v>46083</v>
      </c>
      <c r="B23" s="8" t="s">
        <v>45</v>
      </c>
      <c r="C23" s="8" t="s">
        <v>64</v>
      </c>
      <c r="D23" s="8" t="s">
        <v>65</v>
      </c>
      <c r="E23" s="8" t="s">
        <v>53</v>
      </c>
      <c r="F23" s="8">
        <v>570</v>
      </c>
      <c r="G23" s="53">
        <v>132.94999999999999</v>
      </c>
      <c r="H23" s="10" t="s">
        <v>49</v>
      </c>
      <c r="I23" s="9">
        <f>TradingLogTable[[#This Row],[Quantity (positive number)]]*TradingLogTable[[#This Row],[Price per Unit]]</f>
        <v>75781.5</v>
      </c>
      <c r="J23" s="10">
        <v>10</v>
      </c>
      <c r="K23" s="11">
        <f t="shared" si="1"/>
        <v>75791.5</v>
      </c>
      <c r="L23" s="8">
        <v>570</v>
      </c>
      <c r="M23" s="47" t="s">
        <v>66</v>
      </c>
    </row>
    <row r="24" spans="1:31" ht="82.2" thickBot="1" x14ac:dyDescent="0.8">
      <c r="A24" s="7">
        <v>46083</v>
      </c>
      <c r="B24" s="8" t="s">
        <v>45</v>
      </c>
      <c r="C24" s="8" t="s">
        <v>67</v>
      </c>
      <c r="D24" s="8" t="s">
        <v>68</v>
      </c>
      <c r="E24" s="8" t="s">
        <v>48</v>
      </c>
      <c r="F24" s="8">
        <v>800</v>
      </c>
      <c r="G24" s="53">
        <v>45.45</v>
      </c>
      <c r="H24" s="10" t="s">
        <v>49</v>
      </c>
      <c r="I24" s="9">
        <f>TradingLogTable[[#This Row],[Quantity (positive number)]]*TradingLogTable[[#This Row],[Price per Unit]]</f>
        <v>36360</v>
      </c>
      <c r="J24" s="10">
        <v>10</v>
      </c>
      <c r="K24" s="11">
        <f t="shared" si="1"/>
        <v>36370</v>
      </c>
      <c r="L24" s="8">
        <v>800</v>
      </c>
      <c r="M24" s="47" t="s">
        <v>69</v>
      </c>
    </row>
    <row r="25" spans="1:31" ht="82.2" thickBot="1" x14ac:dyDescent="0.8">
      <c r="A25" s="7">
        <v>46083</v>
      </c>
      <c r="B25" s="8" t="s">
        <v>45</v>
      </c>
      <c r="C25" s="8" t="s">
        <v>70</v>
      </c>
      <c r="D25" s="8" t="s">
        <v>71</v>
      </c>
      <c r="E25" s="8" t="s">
        <v>53</v>
      </c>
      <c r="F25" s="8">
        <v>230</v>
      </c>
      <c r="G25" s="53">
        <v>363.94</v>
      </c>
      <c r="H25" s="10" t="s">
        <v>49</v>
      </c>
      <c r="I25" s="9">
        <f>TradingLogTable[[#This Row],[Quantity (positive number)]]*TradingLogTable[[#This Row],[Price per Unit]]</f>
        <v>83706.2</v>
      </c>
      <c r="J25" s="10">
        <v>10</v>
      </c>
      <c r="K25" s="11">
        <f t="shared" si="1"/>
        <v>83716.2</v>
      </c>
      <c r="L25" s="8">
        <v>230</v>
      </c>
      <c r="M25" s="47" t="s">
        <v>72</v>
      </c>
    </row>
    <row r="26" spans="1:31" ht="102.6" thickBot="1" x14ac:dyDescent="0.8">
      <c r="A26" s="7">
        <v>46083</v>
      </c>
      <c r="B26" s="8" t="s">
        <v>45</v>
      </c>
      <c r="C26" s="8" t="s">
        <v>73</v>
      </c>
      <c r="D26" s="8" t="s">
        <v>74</v>
      </c>
      <c r="E26" s="8" t="s">
        <v>53</v>
      </c>
      <c r="F26" s="8">
        <v>110</v>
      </c>
      <c r="G26" s="53">
        <v>408.82</v>
      </c>
      <c r="H26" s="10" t="s">
        <v>49</v>
      </c>
      <c r="I26" s="9">
        <f>TradingLogTable[[#This Row],[Quantity (positive number)]]*TradingLogTable[[#This Row],[Price per Unit]]</f>
        <v>44970.2</v>
      </c>
      <c r="J26" s="10">
        <v>10</v>
      </c>
      <c r="K26" s="11">
        <f t="shared" si="1"/>
        <v>44980.2</v>
      </c>
      <c r="L26" s="8">
        <v>110</v>
      </c>
      <c r="M26" s="47" t="s">
        <v>75</v>
      </c>
    </row>
    <row r="27" spans="1:31" ht="61.8" thickBot="1" x14ac:dyDescent="0.8">
      <c r="A27" s="7">
        <v>46083</v>
      </c>
      <c r="B27" s="8" t="s">
        <v>45</v>
      </c>
      <c r="C27" s="8" t="s">
        <v>76</v>
      </c>
      <c r="D27" s="8" t="s">
        <v>77</v>
      </c>
      <c r="E27" s="8" t="s">
        <v>53</v>
      </c>
      <c r="F27" s="8">
        <v>388</v>
      </c>
      <c r="G27" s="53">
        <v>131.47999999999999</v>
      </c>
      <c r="H27" s="10" t="s">
        <v>49</v>
      </c>
      <c r="I27" s="9">
        <f>TradingLogTable[[#This Row],[Quantity (positive number)]]*TradingLogTable[[#This Row],[Price per Unit]]</f>
        <v>51014.239999999998</v>
      </c>
      <c r="J27" s="10">
        <v>10</v>
      </c>
      <c r="K27" s="11">
        <f t="shared" si="1"/>
        <v>51024.24</v>
      </c>
      <c r="L27" s="8">
        <v>388</v>
      </c>
      <c r="M27" s="47" t="s">
        <v>78</v>
      </c>
    </row>
    <row r="28" spans="1:31" ht="67.2" thickBot="1" x14ac:dyDescent="0.8">
      <c r="A28" s="7">
        <v>46083</v>
      </c>
      <c r="B28" s="8" t="s">
        <v>45</v>
      </c>
      <c r="C28" s="8" t="s">
        <v>79</v>
      </c>
      <c r="D28" s="8" t="s">
        <v>80</v>
      </c>
      <c r="E28" s="8" t="s">
        <v>53</v>
      </c>
      <c r="F28" s="8">
        <v>150</v>
      </c>
      <c r="G28" s="53">
        <v>306.82</v>
      </c>
      <c r="H28" s="10" t="s">
        <v>49</v>
      </c>
      <c r="I28" s="9">
        <f>TradingLogTable[[#This Row],[Quantity (positive number)]]*TradingLogTable[[#This Row],[Price per Unit]]</f>
        <v>46023</v>
      </c>
      <c r="J28" s="10">
        <v>10</v>
      </c>
      <c r="K28" s="11">
        <f t="shared" si="1"/>
        <v>46033</v>
      </c>
      <c r="L28" s="8">
        <v>150</v>
      </c>
      <c r="M28" s="48" t="s">
        <v>81</v>
      </c>
    </row>
    <row r="29" spans="1:31" ht="67.2" thickBot="1" x14ac:dyDescent="0.8">
      <c r="A29" s="7">
        <v>46083</v>
      </c>
      <c r="B29" s="8" t="s">
        <v>45</v>
      </c>
      <c r="C29" s="8" t="s">
        <v>82</v>
      </c>
      <c r="D29" s="8" t="s">
        <v>83</v>
      </c>
      <c r="E29" s="8" t="s">
        <v>53</v>
      </c>
      <c r="F29" s="8">
        <v>250</v>
      </c>
      <c r="G29" s="53">
        <v>200.87</v>
      </c>
      <c r="H29" s="10" t="s">
        <v>49</v>
      </c>
      <c r="I29" s="9">
        <f>TradingLogTable[[#This Row],[Quantity (positive number)]]*TradingLogTable[[#This Row],[Price per Unit]]</f>
        <v>50217.5</v>
      </c>
      <c r="J29" s="10">
        <v>10</v>
      </c>
      <c r="K29" s="11">
        <f t="shared" si="1"/>
        <v>50227.5</v>
      </c>
      <c r="L29" s="8">
        <v>250</v>
      </c>
      <c r="M29" s="48" t="s">
        <v>84</v>
      </c>
    </row>
    <row r="30" spans="1:31" ht="89.4" thickBot="1" x14ac:dyDescent="0.8">
      <c r="A30" s="7">
        <v>46083</v>
      </c>
      <c r="B30" s="8" t="s">
        <v>45</v>
      </c>
      <c r="C30" s="8" t="s">
        <v>85</v>
      </c>
      <c r="D30" s="8" t="s">
        <v>86</v>
      </c>
      <c r="E30" s="8" t="s">
        <v>53</v>
      </c>
      <c r="F30" s="8">
        <v>130</v>
      </c>
      <c r="G30" s="53">
        <v>302.22000000000003</v>
      </c>
      <c r="H30" s="10" t="s">
        <v>49</v>
      </c>
      <c r="I30" s="9">
        <f>TradingLogTable[[#This Row],[Quantity (positive number)]]*TradingLogTable[[#This Row],[Price per Unit]]</f>
        <v>39288.600000000006</v>
      </c>
      <c r="J30" s="10">
        <v>10</v>
      </c>
      <c r="K30" s="11">
        <f t="shared" si="1"/>
        <v>39298.600000000006</v>
      </c>
      <c r="L30" s="8">
        <v>130</v>
      </c>
      <c r="M30" s="48" t="s">
        <v>87</v>
      </c>
    </row>
    <row r="31" spans="1:31" ht="89.4" thickBot="1" x14ac:dyDescent="0.8">
      <c r="A31" s="7">
        <v>46083</v>
      </c>
      <c r="B31" s="8" t="s">
        <v>45</v>
      </c>
      <c r="C31" s="8" t="s">
        <v>88</v>
      </c>
      <c r="D31" s="8" t="s">
        <v>89</v>
      </c>
      <c r="E31" s="8" t="s">
        <v>53</v>
      </c>
      <c r="F31" s="8">
        <v>140</v>
      </c>
      <c r="G31" s="53">
        <v>329.44</v>
      </c>
      <c r="H31" s="10" t="s">
        <v>49</v>
      </c>
      <c r="I31" s="9">
        <f>TradingLogTable[[#This Row],[Quantity (positive number)]]*TradingLogTable[[#This Row],[Price per Unit]]</f>
        <v>46121.599999999999</v>
      </c>
      <c r="J31" s="10">
        <v>10</v>
      </c>
      <c r="K31" s="11">
        <f t="shared" si="1"/>
        <v>46131.6</v>
      </c>
      <c r="L31" s="8">
        <v>140</v>
      </c>
      <c r="M31" s="48" t="s">
        <v>90</v>
      </c>
    </row>
    <row r="32" spans="1:31" ht="133.80000000000001" thickBot="1" x14ac:dyDescent="0.8">
      <c r="A32" s="7">
        <v>46083</v>
      </c>
      <c r="B32" s="8" t="s">
        <v>45</v>
      </c>
      <c r="C32" s="8" t="s">
        <v>91</v>
      </c>
      <c r="D32" s="8" t="s">
        <v>92</v>
      </c>
      <c r="E32" s="8" t="s">
        <v>53</v>
      </c>
      <c r="F32" s="8">
        <v>800</v>
      </c>
      <c r="G32" s="53">
        <v>33.6</v>
      </c>
      <c r="H32" s="10" t="s">
        <v>49</v>
      </c>
      <c r="I32" s="9">
        <f>TradingLogTable[[#This Row],[Quantity (positive number)]]*TradingLogTable[[#This Row],[Price per Unit]]</f>
        <v>26880</v>
      </c>
      <c r="J32" s="10">
        <v>10</v>
      </c>
      <c r="K32" s="11">
        <f t="shared" si="1"/>
        <v>26890</v>
      </c>
      <c r="L32" s="8">
        <v>800</v>
      </c>
      <c r="M32" s="48" t="s">
        <v>93</v>
      </c>
    </row>
    <row r="33" spans="1:13" ht="67.2" thickBot="1" x14ac:dyDescent="0.8">
      <c r="A33" s="7">
        <v>46083</v>
      </c>
      <c r="B33" s="8" t="s">
        <v>34</v>
      </c>
      <c r="C33" s="8" t="s">
        <v>94</v>
      </c>
      <c r="D33" s="52" t="s">
        <v>95</v>
      </c>
      <c r="E33" s="8" t="s">
        <v>48</v>
      </c>
      <c r="F33" s="51">
        <v>75</v>
      </c>
      <c r="G33" s="54">
        <v>57.95</v>
      </c>
      <c r="H33" s="10" t="s">
        <v>49</v>
      </c>
      <c r="I33" s="9">
        <f>TradingLogTable[[#This Row],[Quantity (positive number)]]*TradingLogTable[[#This Row],[Price per Unit]]</f>
        <v>4346.25</v>
      </c>
      <c r="J33" s="10">
        <v>10</v>
      </c>
      <c r="K33" s="11">
        <f t="shared" ref="K33:K36" si="2">I33+J33</f>
        <v>4356.25</v>
      </c>
      <c r="L33" s="8">
        <f>TradingLogTable[[#This Row],[Quantity (positive number)]]</f>
        <v>75</v>
      </c>
      <c r="M33" s="48" t="s">
        <v>96</v>
      </c>
    </row>
    <row r="34" spans="1:13" ht="67.2" thickBot="1" x14ac:dyDescent="0.8">
      <c r="A34" s="7">
        <v>46083</v>
      </c>
      <c r="B34" s="8" t="s">
        <v>34</v>
      </c>
      <c r="C34" s="8" t="s">
        <v>97</v>
      </c>
      <c r="D34" s="8" t="s">
        <v>98</v>
      </c>
      <c r="E34" s="8" t="s">
        <v>53</v>
      </c>
      <c r="F34" s="8">
        <v>60</v>
      </c>
      <c r="G34" s="54">
        <v>159.75</v>
      </c>
      <c r="H34" s="10" t="s">
        <v>49</v>
      </c>
      <c r="I34" s="9">
        <f>TradingLogTable[[#This Row],[Quantity (positive number)]]*TradingLogTable[[#This Row],[Price per Unit]]</f>
        <v>9585</v>
      </c>
      <c r="J34" s="10">
        <v>10</v>
      </c>
      <c r="K34" s="11">
        <f t="shared" si="2"/>
        <v>9595</v>
      </c>
      <c r="L34" s="8">
        <f>TradingLogTable[[#This Row],[Quantity (positive number)]]</f>
        <v>60</v>
      </c>
      <c r="M34" s="48" t="s">
        <v>99</v>
      </c>
    </row>
    <row r="35" spans="1:13" ht="22.8" thickBot="1" x14ac:dyDescent="0.8">
      <c r="A35" s="8"/>
      <c r="B35" s="8"/>
      <c r="C35" s="8"/>
      <c r="D35" s="8"/>
      <c r="E35" s="8"/>
      <c r="F35" s="8"/>
      <c r="G35" s="38">
        <f>AD19</f>
        <v>0</v>
      </c>
      <c r="H35" s="10"/>
      <c r="I35" s="9">
        <f>TradingLogTable[[#This Row],[Quantity (positive number)]]*TradingLogTable[[#This Row],[Price per Unit]]</f>
        <v>0</v>
      </c>
      <c r="J35" s="10"/>
      <c r="K35" s="11">
        <f t="shared" si="2"/>
        <v>0</v>
      </c>
      <c r="L35" s="8"/>
      <c r="M35" s="48"/>
    </row>
    <row r="36" spans="1:13" ht="22.8" thickBot="1" x14ac:dyDescent="0.8">
      <c r="A36" s="8"/>
      <c r="B36" s="8"/>
      <c r="C36" s="8"/>
      <c r="D36" s="8"/>
      <c r="E36" s="8"/>
      <c r="F36" s="8"/>
      <c r="G36" s="38">
        <f>AD20</f>
        <v>0</v>
      </c>
      <c r="H36" s="10"/>
      <c r="I36" s="9">
        <f>TradingLogTable[[#This Row],[Quantity (positive number)]]*TradingLogTable[[#This Row],[Price per Unit]]</f>
        <v>0</v>
      </c>
      <c r="J36" s="10"/>
      <c r="K36" s="11">
        <f t="shared" si="2"/>
        <v>0</v>
      </c>
      <c r="L36" s="8"/>
      <c r="M36" s="48"/>
    </row>
    <row r="37" spans="1:13" x14ac:dyDescent="0.75">
      <c r="A37" s="4"/>
      <c r="B37" s="4"/>
      <c r="C37" s="4"/>
      <c r="E37" s="4"/>
      <c r="F37" s="4"/>
      <c r="I37" s="3" t="str">
        <f ca="1">_xlfn.FORMULATEXT(I18)</f>
        <v>=[@[Quantity (positive number)]]*[@[Price per Unit]]</v>
      </c>
      <c r="K37" s="13"/>
      <c r="L37" s="4"/>
      <c r="M37" s="49"/>
    </row>
    <row r="40" spans="1:13" x14ac:dyDescent="0.75">
      <c r="D40" s="3"/>
    </row>
    <row r="41" spans="1:13" x14ac:dyDescent="0.75">
      <c r="D41" s="3"/>
    </row>
    <row r="42" spans="1:13" x14ac:dyDescent="0.75">
      <c r="D42" s="3"/>
      <c r="K42"/>
      <c r="L42"/>
      <c r="M42"/>
    </row>
    <row r="43" spans="1:13" x14ac:dyDescent="0.75">
      <c r="D43" s="3"/>
      <c r="K43"/>
      <c r="L43"/>
      <c r="M43"/>
    </row>
    <row r="44" spans="1:13" x14ac:dyDescent="0.75">
      <c r="D44" s="3"/>
      <c r="K44"/>
      <c r="L44"/>
      <c r="M44"/>
    </row>
    <row r="45" spans="1:13" x14ac:dyDescent="0.75">
      <c r="D45" s="3"/>
      <c r="K45"/>
      <c r="L45"/>
      <c r="M45"/>
    </row>
    <row r="46" spans="1:13" x14ac:dyDescent="0.75">
      <c r="D46" s="3"/>
      <c r="K46"/>
      <c r="L46"/>
      <c r="M46"/>
    </row>
    <row r="47" spans="1:13" x14ac:dyDescent="0.75">
      <c r="D47" s="3"/>
      <c r="K47"/>
      <c r="L47"/>
      <c r="M47"/>
    </row>
    <row r="48" spans="1:13" x14ac:dyDescent="0.75">
      <c r="D48" s="3"/>
      <c r="K48"/>
      <c r="L48"/>
      <c r="M48"/>
    </row>
    <row r="49" spans="4:13" x14ac:dyDescent="0.75">
      <c r="D49" s="3"/>
      <c r="K49"/>
      <c r="L49"/>
      <c r="M49"/>
    </row>
    <row r="50" spans="4:13" x14ac:dyDescent="0.75">
      <c r="D50" s="3"/>
      <c r="K50"/>
      <c r="L50"/>
      <c r="M50"/>
    </row>
    <row r="51" spans="4:13" x14ac:dyDescent="0.75">
      <c r="D51" s="3"/>
      <c r="K51"/>
      <c r="L51"/>
      <c r="M51"/>
    </row>
    <row r="52" spans="4:13" x14ac:dyDescent="0.75">
      <c r="D52" s="3"/>
      <c r="K52"/>
      <c r="L52"/>
      <c r="M52"/>
    </row>
    <row r="53" spans="4:13" x14ac:dyDescent="0.75">
      <c r="D53" s="3"/>
      <c r="K53"/>
      <c r="L53"/>
      <c r="M53"/>
    </row>
    <row r="54" spans="4:13" x14ac:dyDescent="0.75">
      <c r="D54" s="3"/>
      <c r="K54"/>
      <c r="L54"/>
      <c r="M54"/>
    </row>
    <row r="55" spans="4:13" x14ac:dyDescent="0.75">
      <c r="D55" s="3"/>
      <c r="K55"/>
      <c r="L55"/>
      <c r="M55"/>
    </row>
    <row r="56" spans="4:13" x14ac:dyDescent="0.75">
      <c r="D56" s="3"/>
      <c r="K56"/>
      <c r="L56"/>
      <c r="M56"/>
    </row>
    <row r="57" spans="4:13" x14ac:dyDescent="0.75">
      <c r="D57" s="3"/>
      <c r="K57"/>
      <c r="L57"/>
      <c r="M57"/>
    </row>
    <row r="58" spans="4:13" x14ac:dyDescent="0.75">
      <c r="D58" s="3"/>
      <c r="K58"/>
      <c r="L58"/>
      <c r="M58"/>
    </row>
    <row r="59" spans="4:13" x14ac:dyDescent="0.75">
      <c r="K59"/>
      <c r="L59"/>
      <c r="M59"/>
    </row>
    <row r="60" spans="4:13" x14ac:dyDescent="0.75">
      <c r="K60"/>
      <c r="L60"/>
      <c r="M60"/>
    </row>
    <row r="61" spans="4:13" x14ac:dyDescent="0.75">
      <c r="K61"/>
      <c r="L61"/>
      <c r="M61"/>
    </row>
    <row r="62" spans="4:13" x14ac:dyDescent="0.75">
      <c r="K62"/>
      <c r="L62"/>
      <c r="M62"/>
    </row>
    <row r="63" spans="4:13" x14ac:dyDescent="0.75">
      <c r="K63"/>
      <c r="L63"/>
      <c r="M63"/>
    </row>
  </sheetData>
  <pageMargins left="0.7" right="0.7" top="0.75" bottom="0.75" header="0.3" footer="0.3"/>
  <pageSetup orientation="portrait" r:id="rId1"/>
  <ignoredErrors>
    <ignoredError sqref="G18 G22 G19:G21 G23:G34 G2:G16" calculatedColumn="1"/>
  </ignoredErrors>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VALIDATION_LISTS!$A$1:$A$4</xm:f>
          </x14:formula1>
          <xm:sqref>B38:B39 B59:B1024 B18:B36</xm:sqref>
        </x14:dataValidation>
        <x14:dataValidation type="list" allowBlank="1" showInputMessage="1" showErrorMessage="1" xr:uid="{00000000-0002-0000-0000-000001000000}">
          <x14:formula1>
            <xm:f>VALIDATION_LISTS!$B$1:$B$10</xm:f>
          </x14:formula1>
          <xm:sqref>E59:E1023 E38:E39 E18:E36</xm:sqref>
        </x14:dataValidation>
        <x14:dataValidation type="list" allowBlank="1" showInputMessage="1" showErrorMessage="1" xr:uid="{00000000-0002-0000-0000-000002000000}">
          <x14:formula1>
            <xm:f>VALIDATION_LISTS!$C$1:$C$8</xm:f>
          </x14:formula1>
          <xm:sqref>H38:H39 H59:H1026 H18:H36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52DD0-2D30-0249-832D-557AEDCA4765}">
  <sheetPr codeName="Sheet4"/>
  <dimension ref="A1:KK420"/>
  <sheetViews>
    <sheetView zoomScale="40" zoomScaleNormal="100" workbookViewId="0">
      <selection activeCell="F1" sqref="F1"/>
    </sheetView>
  </sheetViews>
  <sheetFormatPr defaultColWidth="11.44140625" defaultRowHeight="25.2" x14ac:dyDescent="0.85"/>
  <cols>
    <col min="1" max="1" width="33.6640625" style="17" bestFit="1" customWidth="1"/>
    <col min="2" max="2" width="31" style="17" bestFit="1" customWidth="1"/>
    <col min="3" max="3" width="54.109375" style="23" customWidth="1"/>
    <col min="4" max="4" width="52.6640625" style="23" customWidth="1"/>
    <col min="5" max="5" width="115.88671875" style="23" customWidth="1"/>
    <col min="6" max="6" width="11.44140625" style="17"/>
    <col min="7" max="7" width="22.88671875" style="17" customWidth="1"/>
    <col min="8" max="8" width="38.109375" style="17" customWidth="1"/>
    <col min="9" max="295" width="11.44140625" style="17"/>
    <col min="296" max="296" width="15.109375" style="17" bestFit="1" customWidth="1"/>
    <col min="297" max="297" width="8.44140625" style="17" bestFit="1" customWidth="1"/>
    <col min="298" max="16384" width="11.44140625" style="17"/>
  </cols>
  <sheetData>
    <row r="1" spans="1:9" ht="50.4" x14ac:dyDescent="0.85">
      <c r="A1" s="16" t="s">
        <v>100</v>
      </c>
      <c r="B1" s="16" t="s">
        <v>101</v>
      </c>
      <c r="C1" s="16" t="s">
        <v>102</v>
      </c>
      <c r="D1" s="16" t="s">
        <v>103</v>
      </c>
      <c r="E1" s="16" t="s">
        <v>104</v>
      </c>
    </row>
    <row r="2" spans="1:9" ht="299.39999999999998" customHeight="1" x14ac:dyDescent="0.85">
      <c r="A2" s="18">
        <v>45692</v>
      </c>
      <c r="B2" s="18">
        <v>46070</v>
      </c>
      <c r="C2" s="50" t="s">
        <v>105</v>
      </c>
      <c r="D2" s="50" t="s">
        <v>106</v>
      </c>
      <c r="E2" s="50" t="s">
        <v>107</v>
      </c>
    </row>
    <row r="3" spans="1:9" ht="341.4" customHeight="1" x14ac:dyDescent="0.85">
      <c r="A3" s="18">
        <f>B2+1</f>
        <v>46071</v>
      </c>
      <c r="B3" s="18">
        <v>46083</v>
      </c>
      <c r="C3" s="50" t="s">
        <v>108</v>
      </c>
      <c r="D3" s="19" t="s">
        <v>109</v>
      </c>
      <c r="E3" s="50" t="s">
        <v>110</v>
      </c>
      <c r="G3" s="65" t="e" vm="19">
        <v>#VALUE!</v>
      </c>
      <c r="H3" s="65"/>
      <c r="I3" s="65"/>
    </row>
    <row r="4" spans="1:9" x14ac:dyDescent="0.85">
      <c r="A4" s="18">
        <f t="shared" ref="A4" si="0">B3+1</f>
        <v>46084</v>
      </c>
      <c r="B4" s="18"/>
      <c r="C4" s="19"/>
      <c r="D4" s="19"/>
      <c r="E4" s="19"/>
    </row>
    <row r="5" spans="1:9" x14ac:dyDescent="0.85">
      <c r="A5" s="18"/>
      <c r="B5" s="18"/>
      <c r="C5" s="19"/>
      <c r="D5" s="19"/>
      <c r="E5" s="19"/>
    </row>
    <row r="6" spans="1:9" x14ac:dyDescent="0.85">
      <c r="A6" s="18"/>
      <c r="B6" s="18"/>
      <c r="C6" s="19"/>
      <c r="D6" s="19"/>
      <c r="E6" s="19"/>
    </row>
    <row r="7" spans="1:9" x14ac:dyDescent="0.85">
      <c r="A7" s="18"/>
      <c r="B7" s="18"/>
      <c r="C7" s="19"/>
      <c r="D7" s="19"/>
      <c r="E7" s="19"/>
    </row>
    <row r="8" spans="1:9" x14ac:dyDescent="0.85">
      <c r="A8" s="20"/>
      <c r="B8" s="20"/>
      <c r="C8" s="21"/>
      <c r="D8" s="21"/>
      <c r="E8" s="21"/>
    </row>
    <row r="9" spans="1:9" x14ac:dyDescent="0.85">
      <c r="A9" s="20"/>
      <c r="B9" s="20"/>
      <c r="C9" s="21"/>
      <c r="D9" s="21"/>
      <c r="E9" s="21"/>
    </row>
    <row r="10" spans="1:9" x14ac:dyDescent="0.85">
      <c r="A10" s="20"/>
      <c r="B10" s="20"/>
      <c r="C10" s="21"/>
      <c r="D10" s="21"/>
      <c r="E10" s="21"/>
    </row>
    <row r="11" spans="1:9" x14ac:dyDescent="0.85">
      <c r="A11" s="20"/>
      <c r="B11" s="20"/>
      <c r="C11" s="21"/>
      <c r="D11" s="21"/>
      <c r="E11" s="21"/>
    </row>
    <row r="12" spans="1:9" x14ac:dyDescent="0.85">
      <c r="A12" s="20"/>
      <c r="B12" s="20"/>
      <c r="C12" s="21"/>
      <c r="D12" s="21"/>
      <c r="E12" s="21"/>
    </row>
    <row r="13" spans="1:9" x14ac:dyDescent="0.85">
      <c r="A13" s="20"/>
      <c r="B13" s="20"/>
      <c r="C13" s="21"/>
      <c r="D13" s="21"/>
      <c r="E13" s="21"/>
    </row>
    <row r="14" spans="1:9" x14ac:dyDescent="0.85">
      <c r="A14" s="20"/>
      <c r="B14" s="20"/>
      <c r="C14" s="21"/>
      <c r="D14" s="21"/>
      <c r="E14" s="21"/>
    </row>
    <row r="15" spans="1:9" x14ac:dyDescent="0.85">
      <c r="A15" s="20"/>
      <c r="B15" s="20"/>
      <c r="C15" s="21"/>
      <c r="D15" s="21"/>
      <c r="E15" s="21"/>
    </row>
    <row r="16" spans="1:9" x14ac:dyDescent="0.85">
      <c r="A16" s="20"/>
      <c r="B16" s="20"/>
      <c r="C16" s="21"/>
      <c r="D16" s="21"/>
      <c r="E16" s="21"/>
    </row>
    <row r="17" spans="1:5" x14ac:dyDescent="0.85">
      <c r="A17" s="20"/>
      <c r="B17" s="20"/>
      <c r="C17" s="21"/>
      <c r="D17" s="21"/>
      <c r="E17" s="21"/>
    </row>
    <row r="18" spans="1:5" x14ac:dyDescent="0.85">
      <c r="A18" s="20"/>
      <c r="B18" s="20"/>
      <c r="C18" s="21"/>
      <c r="D18" s="21"/>
      <c r="E18" s="21"/>
    </row>
    <row r="19" spans="1:5" x14ac:dyDescent="0.85">
      <c r="A19" s="20"/>
      <c r="B19" s="20"/>
      <c r="C19" s="21"/>
      <c r="D19" s="21"/>
      <c r="E19" s="21"/>
    </row>
    <row r="20" spans="1:5" x14ac:dyDescent="0.85">
      <c r="A20" s="20"/>
      <c r="B20" s="20"/>
      <c r="C20" s="21"/>
      <c r="D20" s="21"/>
      <c r="E20" s="21"/>
    </row>
    <row r="21" spans="1:5" x14ac:dyDescent="0.85">
      <c r="A21" s="20"/>
      <c r="B21" s="20"/>
      <c r="C21" s="21"/>
      <c r="D21" s="21"/>
      <c r="E21" s="21"/>
    </row>
    <row r="22" spans="1:5" x14ac:dyDescent="0.85">
      <c r="A22" s="20"/>
      <c r="B22" s="20"/>
      <c r="C22" s="21"/>
      <c r="D22" s="21"/>
      <c r="E22" s="21"/>
    </row>
    <row r="23" spans="1:5" x14ac:dyDescent="0.85">
      <c r="A23" s="20"/>
      <c r="B23" s="20"/>
      <c r="C23" s="21"/>
      <c r="D23" s="21"/>
      <c r="E23" s="21"/>
    </row>
    <row r="24" spans="1:5" x14ac:dyDescent="0.85">
      <c r="A24" s="20"/>
      <c r="B24" s="20"/>
      <c r="C24" s="21"/>
      <c r="D24" s="21"/>
      <c r="E24" s="21"/>
    </row>
    <row r="25" spans="1:5" x14ac:dyDescent="0.85">
      <c r="A25" s="20"/>
      <c r="B25" s="20"/>
      <c r="C25" s="21"/>
      <c r="D25" s="21"/>
      <c r="E25" s="21"/>
    </row>
    <row r="26" spans="1:5" x14ac:dyDescent="0.85">
      <c r="A26" s="20"/>
      <c r="B26" s="20"/>
      <c r="C26" s="21"/>
      <c r="D26" s="21"/>
      <c r="E26" s="21"/>
    </row>
    <row r="27" spans="1:5" x14ac:dyDescent="0.85">
      <c r="A27" s="20"/>
      <c r="B27" s="20"/>
      <c r="C27" s="21"/>
      <c r="D27" s="21"/>
      <c r="E27" s="21"/>
    </row>
    <row r="28" spans="1:5" x14ac:dyDescent="0.85">
      <c r="A28" s="20"/>
      <c r="B28" s="20"/>
      <c r="C28" s="21"/>
      <c r="D28" s="21"/>
      <c r="E28" s="21"/>
    </row>
    <row r="29" spans="1:5" x14ac:dyDescent="0.85">
      <c r="A29" s="20"/>
      <c r="B29" s="20"/>
      <c r="C29" s="21"/>
      <c r="D29" s="21"/>
      <c r="E29" s="21"/>
    </row>
    <row r="30" spans="1:5" x14ac:dyDescent="0.85">
      <c r="A30" s="20"/>
      <c r="B30" s="20"/>
      <c r="C30" s="21"/>
      <c r="D30" s="21"/>
      <c r="E30" s="21"/>
    </row>
    <row r="31" spans="1:5" x14ac:dyDescent="0.85">
      <c r="A31" s="20"/>
      <c r="B31" s="20"/>
      <c r="C31" s="21"/>
      <c r="D31" s="21"/>
      <c r="E31" s="21"/>
    </row>
    <row r="32" spans="1:5" x14ac:dyDescent="0.85">
      <c r="A32" s="20"/>
      <c r="B32" s="20"/>
      <c r="C32" s="21"/>
      <c r="D32" s="21"/>
      <c r="E32" s="21"/>
    </row>
    <row r="33" spans="1:5" x14ac:dyDescent="0.85">
      <c r="A33" s="20"/>
      <c r="B33" s="20"/>
      <c r="C33" s="21"/>
      <c r="D33" s="21"/>
      <c r="E33" s="21"/>
    </row>
    <row r="34" spans="1:5" x14ac:dyDescent="0.85">
      <c r="A34" s="20"/>
      <c r="B34" s="20"/>
      <c r="C34" s="21"/>
      <c r="D34" s="21"/>
      <c r="E34" s="21"/>
    </row>
    <row r="35" spans="1:5" x14ac:dyDescent="0.85">
      <c r="A35" s="20"/>
      <c r="B35" s="20"/>
      <c r="C35" s="21"/>
      <c r="D35" s="21"/>
      <c r="E35" s="21"/>
    </row>
    <row r="36" spans="1:5" x14ac:dyDescent="0.85">
      <c r="A36" s="20"/>
      <c r="B36" s="20"/>
      <c r="C36" s="21"/>
      <c r="D36" s="21"/>
      <c r="E36" s="21"/>
    </row>
    <row r="37" spans="1:5" x14ac:dyDescent="0.85">
      <c r="A37" s="20"/>
      <c r="B37" s="20"/>
      <c r="C37" s="21"/>
      <c r="D37" s="21"/>
      <c r="E37" s="21"/>
    </row>
    <row r="38" spans="1:5" x14ac:dyDescent="0.85">
      <c r="A38" s="20"/>
      <c r="B38" s="20"/>
      <c r="C38" s="21"/>
      <c r="D38" s="21"/>
      <c r="E38" s="21"/>
    </row>
    <row r="39" spans="1:5" x14ac:dyDescent="0.85">
      <c r="A39" s="20"/>
      <c r="B39" s="20"/>
      <c r="C39" s="21"/>
      <c r="D39" s="21"/>
      <c r="E39" s="21"/>
    </row>
    <row r="40" spans="1:5" x14ac:dyDescent="0.85">
      <c r="A40" s="20"/>
      <c r="B40" s="20"/>
      <c r="C40" s="21"/>
      <c r="D40" s="21"/>
      <c r="E40" s="21"/>
    </row>
    <row r="41" spans="1:5" x14ac:dyDescent="0.85">
      <c r="A41" s="20"/>
      <c r="B41" s="20"/>
      <c r="C41" s="21"/>
      <c r="D41" s="21"/>
      <c r="E41" s="21"/>
    </row>
    <row r="42" spans="1:5" x14ac:dyDescent="0.85">
      <c r="A42" s="20"/>
      <c r="B42" s="20"/>
      <c r="C42" s="21"/>
      <c r="D42" s="21"/>
      <c r="E42" s="21"/>
    </row>
    <row r="43" spans="1:5" x14ac:dyDescent="0.85">
      <c r="A43" s="20"/>
      <c r="B43" s="20"/>
      <c r="C43" s="21"/>
      <c r="D43" s="21"/>
      <c r="E43" s="21"/>
    </row>
    <row r="44" spans="1:5" x14ac:dyDescent="0.85">
      <c r="A44" s="20"/>
      <c r="B44" s="20"/>
      <c r="C44" s="21"/>
      <c r="D44" s="21"/>
      <c r="E44" s="21"/>
    </row>
    <row r="45" spans="1:5" x14ac:dyDescent="0.85">
      <c r="A45" s="20"/>
      <c r="B45" s="20"/>
      <c r="C45" s="21"/>
      <c r="D45" s="21"/>
      <c r="E45" s="21"/>
    </row>
    <row r="46" spans="1:5" x14ac:dyDescent="0.85">
      <c r="A46" s="20"/>
      <c r="B46" s="20"/>
      <c r="C46" s="21"/>
      <c r="D46" s="21"/>
      <c r="E46" s="21"/>
    </row>
    <row r="47" spans="1:5" x14ac:dyDescent="0.85">
      <c r="A47" s="20"/>
      <c r="B47" s="20"/>
      <c r="C47" s="21"/>
      <c r="D47" s="21"/>
      <c r="E47" s="21"/>
    </row>
    <row r="48" spans="1:5" x14ac:dyDescent="0.85">
      <c r="A48" s="20"/>
      <c r="B48" s="20"/>
      <c r="C48" s="21"/>
      <c r="D48" s="21"/>
      <c r="E48" s="21"/>
    </row>
    <row r="49" spans="1:5" x14ac:dyDescent="0.85">
      <c r="A49" s="20"/>
      <c r="B49" s="20"/>
      <c r="C49" s="21"/>
      <c r="D49" s="21"/>
      <c r="E49" s="21"/>
    </row>
    <row r="50" spans="1:5" x14ac:dyDescent="0.85">
      <c r="A50" s="20"/>
      <c r="B50" s="20"/>
      <c r="C50" s="21"/>
      <c r="D50" s="21"/>
      <c r="E50" s="21"/>
    </row>
    <row r="51" spans="1:5" x14ac:dyDescent="0.85">
      <c r="A51" s="22"/>
      <c r="B51" s="22"/>
      <c r="C51" s="21"/>
      <c r="D51" s="21"/>
      <c r="E51" s="21"/>
    </row>
    <row r="52" spans="1:5" x14ac:dyDescent="0.85">
      <c r="A52" s="22"/>
      <c r="B52" s="22"/>
      <c r="C52" s="21"/>
      <c r="D52" s="21"/>
      <c r="E52" s="21"/>
    </row>
    <row r="53" spans="1:5" x14ac:dyDescent="0.85">
      <c r="A53" s="22"/>
      <c r="B53" s="22"/>
      <c r="C53" s="21"/>
      <c r="D53" s="21"/>
      <c r="E53" s="21"/>
    </row>
    <row r="54" spans="1:5" x14ac:dyDescent="0.85">
      <c r="A54" s="22"/>
      <c r="B54" s="22"/>
      <c r="C54" s="21"/>
      <c r="D54" s="21"/>
      <c r="E54" s="21"/>
    </row>
    <row r="55" spans="1:5" x14ac:dyDescent="0.85">
      <c r="A55" s="22"/>
      <c r="B55" s="22"/>
      <c r="C55" s="21"/>
      <c r="D55" s="21"/>
      <c r="E55" s="21"/>
    </row>
    <row r="56" spans="1:5" x14ac:dyDescent="0.85">
      <c r="A56" s="22"/>
      <c r="B56" s="22"/>
      <c r="C56" s="21"/>
      <c r="D56" s="21"/>
      <c r="E56" s="21"/>
    </row>
    <row r="57" spans="1:5" x14ac:dyDescent="0.85">
      <c r="A57" s="22"/>
      <c r="B57" s="22"/>
      <c r="C57" s="21"/>
      <c r="D57" s="21"/>
      <c r="E57" s="21"/>
    </row>
    <row r="58" spans="1:5" x14ac:dyDescent="0.85">
      <c r="A58" s="22"/>
      <c r="B58" s="22"/>
      <c r="C58" s="21"/>
      <c r="D58" s="21"/>
      <c r="E58" s="21"/>
    </row>
    <row r="59" spans="1:5" x14ac:dyDescent="0.85">
      <c r="A59" s="22"/>
      <c r="B59" s="22"/>
      <c r="C59" s="21"/>
      <c r="D59" s="21"/>
      <c r="E59" s="21"/>
    </row>
    <row r="60" spans="1:5" x14ac:dyDescent="0.85">
      <c r="A60" s="22"/>
      <c r="B60" s="22"/>
      <c r="C60" s="21"/>
      <c r="D60" s="21"/>
      <c r="E60" s="21"/>
    </row>
    <row r="61" spans="1:5" x14ac:dyDescent="0.85">
      <c r="A61" s="22"/>
      <c r="B61" s="22"/>
      <c r="C61" s="21"/>
      <c r="D61" s="21"/>
      <c r="E61" s="21"/>
    </row>
    <row r="62" spans="1:5" x14ac:dyDescent="0.85">
      <c r="A62" s="22"/>
      <c r="B62" s="22"/>
      <c r="C62" s="21"/>
      <c r="D62" s="21"/>
      <c r="E62" s="21"/>
    </row>
    <row r="63" spans="1:5" x14ac:dyDescent="0.85">
      <c r="A63" s="22"/>
      <c r="B63" s="22"/>
      <c r="C63" s="21"/>
      <c r="D63" s="21"/>
      <c r="E63" s="21"/>
    </row>
    <row r="64" spans="1:5" x14ac:dyDescent="0.85">
      <c r="A64" s="22"/>
      <c r="B64" s="22"/>
      <c r="C64" s="21"/>
      <c r="D64" s="21"/>
      <c r="E64" s="21"/>
    </row>
    <row r="65" spans="1:5" x14ac:dyDescent="0.85">
      <c r="A65" s="22"/>
      <c r="B65" s="22"/>
      <c r="C65" s="21"/>
      <c r="D65" s="21"/>
      <c r="E65" s="21"/>
    </row>
    <row r="66" spans="1:5" x14ac:dyDescent="0.85">
      <c r="A66" s="22"/>
      <c r="B66" s="22"/>
      <c r="C66" s="21"/>
      <c r="D66" s="21"/>
      <c r="E66" s="21"/>
    </row>
    <row r="67" spans="1:5" x14ac:dyDescent="0.85">
      <c r="A67" s="22"/>
      <c r="B67" s="22"/>
      <c r="C67" s="21"/>
      <c r="D67" s="21"/>
      <c r="E67" s="21"/>
    </row>
    <row r="68" spans="1:5" x14ac:dyDescent="0.85">
      <c r="A68" s="22"/>
      <c r="B68" s="22"/>
      <c r="C68" s="21"/>
      <c r="D68" s="21"/>
      <c r="E68" s="21"/>
    </row>
    <row r="69" spans="1:5" x14ac:dyDescent="0.85">
      <c r="A69" s="22"/>
      <c r="B69" s="22"/>
      <c r="C69" s="21"/>
      <c r="D69" s="21"/>
      <c r="E69" s="21"/>
    </row>
    <row r="70" spans="1:5" x14ac:dyDescent="0.85">
      <c r="A70" s="22"/>
      <c r="B70" s="22"/>
      <c r="C70" s="21"/>
      <c r="D70" s="21"/>
      <c r="E70" s="21"/>
    </row>
    <row r="71" spans="1:5" x14ac:dyDescent="0.85">
      <c r="A71" s="22"/>
      <c r="B71" s="22"/>
      <c r="C71" s="21"/>
      <c r="D71" s="21"/>
      <c r="E71" s="21"/>
    </row>
    <row r="72" spans="1:5" x14ac:dyDescent="0.85">
      <c r="A72" s="22"/>
      <c r="B72" s="22"/>
      <c r="C72" s="21"/>
      <c r="D72" s="21"/>
      <c r="E72" s="21"/>
    </row>
    <row r="73" spans="1:5" x14ac:dyDescent="0.85">
      <c r="A73" s="22"/>
      <c r="B73" s="22"/>
      <c r="C73" s="21"/>
      <c r="D73" s="21"/>
      <c r="E73" s="21"/>
    </row>
    <row r="74" spans="1:5" x14ac:dyDescent="0.85">
      <c r="A74" s="22"/>
      <c r="B74" s="22"/>
      <c r="C74" s="21"/>
      <c r="D74" s="21"/>
      <c r="E74" s="21"/>
    </row>
    <row r="75" spans="1:5" x14ac:dyDescent="0.85">
      <c r="A75" s="22"/>
      <c r="B75" s="22"/>
      <c r="C75" s="21"/>
      <c r="D75" s="21"/>
      <c r="E75" s="21"/>
    </row>
    <row r="76" spans="1:5" x14ac:dyDescent="0.85">
      <c r="A76" s="22"/>
      <c r="B76" s="22"/>
      <c r="C76" s="21"/>
      <c r="D76" s="21"/>
      <c r="E76" s="21"/>
    </row>
    <row r="77" spans="1:5" x14ac:dyDescent="0.85">
      <c r="A77" s="22"/>
      <c r="B77" s="22"/>
      <c r="C77" s="21"/>
      <c r="D77" s="21"/>
      <c r="E77" s="21"/>
    </row>
    <row r="78" spans="1:5" x14ac:dyDescent="0.85">
      <c r="A78" s="22"/>
      <c r="B78" s="22"/>
      <c r="C78" s="21"/>
      <c r="D78" s="21"/>
      <c r="E78" s="21"/>
    </row>
    <row r="79" spans="1:5" x14ac:dyDescent="0.85">
      <c r="A79" s="22"/>
      <c r="B79" s="22"/>
      <c r="C79" s="21"/>
      <c r="D79" s="21"/>
      <c r="E79" s="21"/>
    </row>
    <row r="80" spans="1:5" x14ac:dyDescent="0.85">
      <c r="A80" s="22"/>
      <c r="B80" s="22"/>
      <c r="C80" s="21"/>
      <c r="D80" s="21"/>
      <c r="E80" s="21"/>
    </row>
    <row r="81" spans="1:5" x14ac:dyDescent="0.85">
      <c r="A81" s="22"/>
      <c r="B81" s="22"/>
      <c r="C81" s="21"/>
      <c r="D81" s="21"/>
      <c r="E81" s="21"/>
    </row>
    <row r="82" spans="1:5" x14ac:dyDescent="0.85">
      <c r="A82" s="22"/>
      <c r="B82" s="22"/>
      <c r="C82" s="21"/>
      <c r="D82" s="21"/>
      <c r="E82" s="21"/>
    </row>
    <row r="83" spans="1:5" x14ac:dyDescent="0.85">
      <c r="A83" s="22"/>
      <c r="B83" s="22"/>
      <c r="C83" s="21"/>
      <c r="D83" s="21"/>
      <c r="E83" s="21"/>
    </row>
    <row r="84" spans="1:5" x14ac:dyDescent="0.85">
      <c r="A84" s="22"/>
      <c r="B84" s="22"/>
      <c r="C84" s="21"/>
      <c r="D84" s="21"/>
      <c r="E84" s="21"/>
    </row>
    <row r="85" spans="1:5" x14ac:dyDescent="0.85">
      <c r="A85" s="22"/>
      <c r="B85" s="22"/>
      <c r="C85" s="21"/>
      <c r="D85" s="21"/>
      <c r="E85" s="21"/>
    </row>
    <row r="86" spans="1:5" x14ac:dyDescent="0.85">
      <c r="A86" s="22"/>
      <c r="B86" s="22"/>
      <c r="C86" s="21"/>
      <c r="D86" s="21"/>
      <c r="E86" s="21"/>
    </row>
    <row r="87" spans="1:5" x14ac:dyDescent="0.85">
      <c r="A87" s="22"/>
      <c r="B87" s="22"/>
      <c r="C87" s="21"/>
      <c r="D87" s="21"/>
      <c r="E87" s="21"/>
    </row>
    <row r="88" spans="1:5" x14ac:dyDescent="0.85">
      <c r="A88" s="22"/>
      <c r="B88" s="22"/>
      <c r="C88" s="21"/>
      <c r="D88" s="21"/>
      <c r="E88" s="21"/>
    </row>
    <row r="89" spans="1:5" x14ac:dyDescent="0.85">
      <c r="A89" s="22"/>
      <c r="B89" s="22"/>
      <c r="C89" s="21"/>
      <c r="D89" s="21"/>
      <c r="E89" s="21"/>
    </row>
    <row r="90" spans="1:5" x14ac:dyDescent="0.85">
      <c r="A90" s="22"/>
      <c r="B90" s="22"/>
      <c r="C90" s="21"/>
      <c r="D90" s="21"/>
      <c r="E90" s="21"/>
    </row>
    <row r="91" spans="1:5" x14ac:dyDescent="0.85">
      <c r="A91" s="22"/>
      <c r="B91" s="22"/>
      <c r="C91" s="21"/>
      <c r="D91" s="21"/>
      <c r="E91" s="21"/>
    </row>
    <row r="92" spans="1:5" x14ac:dyDescent="0.85">
      <c r="A92" s="22"/>
      <c r="B92" s="22"/>
      <c r="C92" s="21"/>
      <c r="D92" s="21"/>
      <c r="E92" s="21"/>
    </row>
    <row r="93" spans="1:5" x14ac:dyDescent="0.85">
      <c r="A93" s="22"/>
      <c r="B93" s="22"/>
      <c r="C93" s="21"/>
      <c r="D93" s="21"/>
      <c r="E93" s="21"/>
    </row>
    <row r="94" spans="1:5" x14ac:dyDescent="0.85">
      <c r="A94" s="22"/>
      <c r="B94" s="22"/>
      <c r="C94" s="21"/>
      <c r="D94" s="21"/>
      <c r="E94" s="21"/>
    </row>
    <row r="95" spans="1:5" x14ac:dyDescent="0.85">
      <c r="A95" s="22"/>
      <c r="B95" s="22"/>
      <c r="C95" s="21"/>
      <c r="D95" s="21"/>
      <c r="E95" s="21"/>
    </row>
    <row r="96" spans="1:5" x14ac:dyDescent="0.85">
      <c r="A96" s="22"/>
      <c r="B96" s="22"/>
      <c r="C96" s="21"/>
      <c r="D96" s="21"/>
      <c r="E96" s="21"/>
    </row>
    <row r="97" spans="1:5" x14ac:dyDescent="0.85">
      <c r="A97" s="22"/>
      <c r="B97" s="22"/>
      <c r="C97" s="21"/>
      <c r="D97" s="21"/>
      <c r="E97" s="21"/>
    </row>
    <row r="98" spans="1:5" x14ac:dyDescent="0.85">
      <c r="A98" s="22"/>
      <c r="B98" s="22"/>
      <c r="C98" s="21"/>
      <c r="D98" s="21"/>
      <c r="E98" s="21"/>
    </row>
    <row r="99" spans="1:5" x14ac:dyDescent="0.85">
      <c r="A99" s="22"/>
      <c r="B99" s="22"/>
      <c r="C99" s="21"/>
      <c r="D99" s="21"/>
      <c r="E99" s="21"/>
    </row>
    <row r="100" spans="1:5" x14ac:dyDescent="0.85">
      <c r="A100" s="22"/>
      <c r="B100" s="22"/>
      <c r="C100" s="21"/>
      <c r="D100" s="21"/>
      <c r="E100" s="21"/>
    </row>
    <row r="101" spans="1:5" x14ac:dyDescent="0.85">
      <c r="A101" s="22"/>
      <c r="B101" s="22"/>
      <c r="C101" s="21"/>
      <c r="D101" s="21"/>
      <c r="E101" s="21"/>
    </row>
    <row r="102" spans="1:5" x14ac:dyDescent="0.85">
      <c r="A102" s="22"/>
      <c r="B102" s="22"/>
      <c r="C102" s="21"/>
      <c r="D102" s="21"/>
      <c r="E102" s="21"/>
    </row>
    <row r="103" spans="1:5" x14ac:dyDescent="0.85">
      <c r="A103" s="22"/>
      <c r="B103" s="22"/>
      <c r="C103" s="21"/>
      <c r="D103" s="21"/>
      <c r="E103" s="21"/>
    </row>
    <row r="104" spans="1:5" x14ac:dyDescent="0.85">
      <c r="A104" s="22"/>
      <c r="B104" s="22"/>
      <c r="C104" s="21"/>
      <c r="D104" s="21"/>
      <c r="E104" s="21"/>
    </row>
    <row r="105" spans="1:5" x14ac:dyDescent="0.85">
      <c r="A105" s="22"/>
      <c r="B105" s="22"/>
      <c r="C105" s="21"/>
      <c r="D105" s="21"/>
      <c r="E105" s="21"/>
    </row>
    <row r="106" spans="1:5" x14ac:dyDescent="0.85">
      <c r="A106" s="22"/>
      <c r="B106" s="22"/>
      <c r="C106" s="21"/>
      <c r="D106" s="21"/>
      <c r="E106" s="21"/>
    </row>
    <row r="107" spans="1:5" x14ac:dyDescent="0.85">
      <c r="A107" s="22"/>
      <c r="B107" s="22"/>
      <c r="C107" s="21"/>
      <c r="D107" s="21"/>
      <c r="E107" s="21"/>
    </row>
    <row r="108" spans="1:5" x14ac:dyDescent="0.85">
      <c r="A108" s="22"/>
      <c r="B108" s="22"/>
      <c r="C108" s="21"/>
      <c r="D108" s="21"/>
      <c r="E108" s="21"/>
    </row>
    <row r="109" spans="1:5" x14ac:dyDescent="0.85">
      <c r="A109" s="22"/>
      <c r="B109" s="22"/>
      <c r="C109" s="21"/>
      <c r="D109" s="21"/>
      <c r="E109" s="21"/>
    </row>
    <row r="110" spans="1:5" x14ac:dyDescent="0.85">
      <c r="A110" s="22"/>
      <c r="B110" s="22"/>
      <c r="C110" s="21"/>
      <c r="D110" s="21"/>
      <c r="E110" s="21"/>
    </row>
    <row r="111" spans="1:5" x14ac:dyDescent="0.85">
      <c r="A111" s="22"/>
      <c r="B111" s="22"/>
      <c r="C111" s="21"/>
      <c r="D111" s="21"/>
      <c r="E111" s="21"/>
    </row>
    <row r="112" spans="1:5" x14ac:dyDescent="0.85">
      <c r="A112" s="22"/>
      <c r="B112" s="22"/>
      <c r="C112" s="21"/>
      <c r="D112" s="21"/>
      <c r="E112" s="21"/>
    </row>
    <row r="113" spans="1:5" x14ac:dyDescent="0.85">
      <c r="A113" s="22"/>
      <c r="B113" s="22"/>
      <c r="C113" s="21"/>
      <c r="D113" s="21"/>
      <c r="E113" s="21"/>
    </row>
    <row r="114" spans="1:5" x14ac:dyDescent="0.85">
      <c r="A114" s="22"/>
      <c r="B114" s="22"/>
      <c r="C114" s="21"/>
      <c r="D114" s="21"/>
      <c r="E114" s="21"/>
    </row>
    <row r="115" spans="1:5" x14ac:dyDescent="0.85">
      <c r="A115" s="22"/>
      <c r="B115" s="22"/>
      <c r="C115" s="21"/>
      <c r="D115" s="21"/>
      <c r="E115" s="21"/>
    </row>
    <row r="116" spans="1:5" x14ac:dyDescent="0.85">
      <c r="A116" s="22"/>
      <c r="B116" s="22"/>
      <c r="C116" s="21"/>
      <c r="D116" s="21"/>
      <c r="E116" s="21"/>
    </row>
    <row r="117" spans="1:5" x14ac:dyDescent="0.85">
      <c r="A117" s="22"/>
      <c r="B117" s="22"/>
      <c r="C117" s="21"/>
      <c r="D117" s="21"/>
      <c r="E117" s="21"/>
    </row>
    <row r="118" spans="1:5" x14ac:dyDescent="0.85">
      <c r="A118" s="22"/>
      <c r="B118" s="22"/>
      <c r="C118" s="21"/>
      <c r="D118" s="21"/>
      <c r="E118" s="21"/>
    </row>
    <row r="119" spans="1:5" x14ac:dyDescent="0.85">
      <c r="A119" s="22"/>
      <c r="B119" s="22"/>
      <c r="C119" s="21"/>
      <c r="D119" s="21"/>
      <c r="E119" s="21"/>
    </row>
    <row r="120" spans="1:5" x14ac:dyDescent="0.85">
      <c r="A120" s="22"/>
      <c r="B120" s="22"/>
      <c r="C120" s="21"/>
      <c r="D120" s="21"/>
      <c r="E120" s="21"/>
    </row>
    <row r="121" spans="1:5" x14ac:dyDescent="0.85">
      <c r="A121" s="22"/>
      <c r="B121" s="22"/>
      <c r="C121" s="21"/>
      <c r="D121" s="21"/>
      <c r="E121" s="21"/>
    </row>
    <row r="122" spans="1:5" x14ac:dyDescent="0.85">
      <c r="A122" s="22"/>
      <c r="B122" s="22"/>
      <c r="C122" s="21"/>
      <c r="D122" s="21"/>
      <c r="E122" s="21"/>
    </row>
    <row r="123" spans="1:5" x14ac:dyDescent="0.85">
      <c r="A123" s="22"/>
      <c r="B123" s="22"/>
      <c r="C123" s="21"/>
      <c r="D123" s="21"/>
      <c r="E123" s="21"/>
    </row>
    <row r="124" spans="1:5" x14ac:dyDescent="0.85">
      <c r="A124" s="22"/>
      <c r="B124" s="22"/>
      <c r="C124" s="21"/>
      <c r="D124" s="21"/>
      <c r="E124" s="21"/>
    </row>
    <row r="125" spans="1:5" x14ac:dyDescent="0.85">
      <c r="A125" s="22"/>
      <c r="B125" s="22"/>
      <c r="C125" s="21"/>
      <c r="D125" s="21"/>
      <c r="E125" s="21"/>
    </row>
    <row r="126" spans="1:5" x14ac:dyDescent="0.85">
      <c r="A126" s="22"/>
      <c r="B126" s="22"/>
      <c r="C126" s="21"/>
      <c r="D126" s="21"/>
      <c r="E126" s="21"/>
    </row>
    <row r="127" spans="1:5" x14ac:dyDescent="0.85">
      <c r="A127" s="22"/>
      <c r="B127" s="22"/>
      <c r="C127" s="21"/>
      <c r="D127" s="21"/>
      <c r="E127" s="21"/>
    </row>
    <row r="128" spans="1:5" x14ac:dyDescent="0.85">
      <c r="A128" s="22"/>
      <c r="B128" s="22"/>
      <c r="C128" s="21"/>
      <c r="D128" s="21"/>
      <c r="E128" s="21"/>
    </row>
    <row r="129" spans="1:5" x14ac:dyDescent="0.85">
      <c r="A129" s="22"/>
      <c r="B129" s="22"/>
      <c r="C129" s="21"/>
      <c r="D129" s="21"/>
      <c r="E129" s="21"/>
    </row>
    <row r="130" spans="1:5" x14ac:dyDescent="0.85">
      <c r="A130" s="22"/>
      <c r="B130" s="22"/>
      <c r="C130" s="21"/>
      <c r="D130" s="21"/>
      <c r="E130" s="21"/>
    </row>
    <row r="131" spans="1:5" x14ac:dyDescent="0.85">
      <c r="A131" s="22"/>
      <c r="B131" s="22"/>
      <c r="C131" s="21"/>
      <c r="D131" s="21"/>
      <c r="E131" s="21"/>
    </row>
    <row r="132" spans="1:5" x14ac:dyDescent="0.85">
      <c r="A132" s="22"/>
      <c r="B132" s="22"/>
      <c r="C132" s="21"/>
      <c r="D132" s="21"/>
      <c r="E132" s="21"/>
    </row>
    <row r="133" spans="1:5" x14ac:dyDescent="0.85">
      <c r="A133" s="22"/>
      <c r="B133" s="22"/>
      <c r="C133" s="21"/>
      <c r="D133" s="21"/>
      <c r="E133" s="21"/>
    </row>
    <row r="134" spans="1:5" x14ac:dyDescent="0.85">
      <c r="A134" s="22"/>
      <c r="B134" s="22"/>
      <c r="C134" s="21"/>
      <c r="D134" s="21"/>
      <c r="E134" s="21"/>
    </row>
    <row r="135" spans="1:5" x14ac:dyDescent="0.85">
      <c r="A135" s="22"/>
      <c r="B135" s="22"/>
      <c r="C135" s="21"/>
      <c r="D135" s="21"/>
      <c r="E135" s="21"/>
    </row>
    <row r="136" spans="1:5" x14ac:dyDescent="0.85">
      <c r="A136" s="22"/>
      <c r="B136" s="22"/>
      <c r="C136" s="21"/>
      <c r="D136" s="21"/>
      <c r="E136" s="21"/>
    </row>
    <row r="137" spans="1:5" x14ac:dyDescent="0.85">
      <c r="A137" s="22"/>
      <c r="B137" s="22"/>
      <c r="C137" s="21"/>
      <c r="D137" s="21"/>
      <c r="E137" s="21"/>
    </row>
    <row r="138" spans="1:5" x14ac:dyDescent="0.85">
      <c r="A138" s="22"/>
      <c r="B138" s="22"/>
      <c r="C138" s="21"/>
      <c r="D138" s="21"/>
      <c r="E138" s="21"/>
    </row>
    <row r="139" spans="1:5" x14ac:dyDescent="0.85">
      <c r="A139" s="22"/>
      <c r="B139" s="22"/>
      <c r="C139" s="21"/>
      <c r="D139" s="21"/>
      <c r="E139" s="21"/>
    </row>
    <row r="140" spans="1:5" x14ac:dyDescent="0.85">
      <c r="A140" s="22"/>
      <c r="B140" s="22"/>
      <c r="C140" s="21"/>
      <c r="D140" s="21"/>
      <c r="E140" s="21"/>
    </row>
    <row r="141" spans="1:5" x14ac:dyDescent="0.85">
      <c r="A141" s="22"/>
      <c r="B141" s="22"/>
      <c r="C141" s="21"/>
      <c r="D141" s="21"/>
      <c r="E141" s="21"/>
    </row>
    <row r="142" spans="1:5" x14ac:dyDescent="0.85">
      <c r="A142" s="22"/>
      <c r="B142" s="22"/>
      <c r="C142" s="21"/>
      <c r="D142" s="21"/>
      <c r="E142" s="21"/>
    </row>
    <row r="143" spans="1:5" x14ac:dyDescent="0.85">
      <c r="A143" s="22"/>
      <c r="B143" s="22"/>
      <c r="C143" s="21"/>
      <c r="D143" s="21"/>
      <c r="E143" s="21"/>
    </row>
    <row r="144" spans="1:5" x14ac:dyDescent="0.85">
      <c r="A144" s="22"/>
      <c r="B144" s="22"/>
      <c r="C144" s="21"/>
      <c r="D144" s="21"/>
      <c r="E144" s="21"/>
    </row>
    <row r="145" spans="1:5" x14ac:dyDescent="0.85">
      <c r="A145" s="22"/>
      <c r="B145" s="22"/>
      <c r="C145" s="21"/>
      <c r="D145" s="21"/>
      <c r="E145" s="21"/>
    </row>
    <row r="146" spans="1:5" x14ac:dyDescent="0.85">
      <c r="A146" s="22"/>
      <c r="B146" s="22"/>
      <c r="C146" s="21"/>
      <c r="D146" s="21"/>
      <c r="E146" s="21"/>
    </row>
    <row r="147" spans="1:5" x14ac:dyDescent="0.85">
      <c r="A147" s="22"/>
      <c r="B147" s="22"/>
      <c r="C147" s="21"/>
      <c r="D147" s="21"/>
      <c r="E147" s="21"/>
    </row>
    <row r="148" spans="1:5" x14ac:dyDescent="0.85">
      <c r="A148" s="22"/>
      <c r="B148" s="22"/>
      <c r="C148" s="21"/>
      <c r="D148" s="21"/>
      <c r="E148" s="21"/>
    </row>
    <row r="149" spans="1:5" x14ac:dyDescent="0.85">
      <c r="A149" s="22"/>
      <c r="B149" s="22"/>
      <c r="C149" s="21"/>
      <c r="D149" s="21"/>
      <c r="E149" s="21"/>
    </row>
    <row r="150" spans="1:5" x14ac:dyDescent="0.85">
      <c r="A150" s="22"/>
      <c r="B150" s="22"/>
      <c r="C150" s="21"/>
      <c r="D150" s="21"/>
      <c r="E150" s="21"/>
    </row>
    <row r="151" spans="1:5" x14ac:dyDescent="0.85">
      <c r="A151" s="22"/>
      <c r="B151" s="22"/>
      <c r="C151" s="21"/>
      <c r="D151" s="21"/>
      <c r="E151" s="21"/>
    </row>
    <row r="152" spans="1:5" x14ac:dyDescent="0.85">
      <c r="A152" s="22"/>
      <c r="B152" s="22"/>
      <c r="C152" s="21"/>
      <c r="D152" s="21"/>
      <c r="E152" s="21"/>
    </row>
    <row r="153" spans="1:5" x14ac:dyDescent="0.85">
      <c r="A153" s="22"/>
      <c r="B153" s="22"/>
      <c r="C153" s="21"/>
      <c r="D153" s="21"/>
      <c r="E153" s="21"/>
    </row>
    <row r="154" spans="1:5" x14ac:dyDescent="0.85">
      <c r="A154" s="22"/>
      <c r="B154" s="22"/>
      <c r="C154" s="21"/>
      <c r="D154" s="21"/>
      <c r="E154" s="21"/>
    </row>
    <row r="155" spans="1:5" x14ac:dyDescent="0.85">
      <c r="A155" s="22"/>
      <c r="B155" s="22"/>
      <c r="C155" s="21"/>
      <c r="D155" s="21"/>
      <c r="E155" s="21"/>
    </row>
    <row r="156" spans="1:5" x14ac:dyDescent="0.85">
      <c r="A156" s="22"/>
      <c r="B156" s="22"/>
      <c r="C156" s="21"/>
      <c r="D156" s="21"/>
      <c r="E156" s="21"/>
    </row>
    <row r="157" spans="1:5" x14ac:dyDescent="0.85">
      <c r="A157" s="22"/>
      <c r="B157" s="22"/>
      <c r="C157" s="21"/>
      <c r="D157" s="21"/>
      <c r="E157" s="21"/>
    </row>
    <row r="158" spans="1:5" x14ac:dyDescent="0.85">
      <c r="A158" s="22"/>
      <c r="B158" s="22"/>
      <c r="C158" s="21"/>
      <c r="D158" s="21"/>
      <c r="E158" s="21"/>
    </row>
    <row r="159" spans="1:5" x14ac:dyDescent="0.85">
      <c r="A159" s="22"/>
      <c r="B159" s="22"/>
      <c r="C159" s="21"/>
      <c r="D159" s="21"/>
      <c r="E159" s="21"/>
    </row>
    <row r="160" spans="1:5" x14ac:dyDescent="0.85">
      <c r="A160" s="22"/>
      <c r="B160" s="22"/>
      <c r="C160" s="21"/>
      <c r="D160" s="21"/>
      <c r="E160" s="21"/>
    </row>
    <row r="161" spans="1:5" x14ac:dyDescent="0.85">
      <c r="A161" s="22"/>
      <c r="B161" s="22"/>
      <c r="C161" s="21"/>
      <c r="D161" s="21"/>
      <c r="E161" s="21"/>
    </row>
    <row r="162" spans="1:5" x14ac:dyDescent="0.85">
      <c r="A162" s="22"/>
      <c r="B162" s="22"/>
      <c r="C162" s="21"/>
      <c r="D162" s="21"/>
      <c r="E162" s="21"/>
    </row>
    <row r="163" spans="1:5" x14ac:dyDescent="0.85">
      <c r="A163" s="22"/>
      <c r="B163" s="22"/>
      <c r="C163" s="21"/>
      <c r="D163" s="21"/>
      <c r="E163" s="21"/>
    </row>
    <row r="164" spans="1:5" x14ac:dyDescent="0.85">
      <c r="A164" s="22"/>
      <c r="B164" s="22"/>
      <c r="C164" s="21"/>
      <c r="D164" s="21"/>
      <c r="E164" s="21"/>
    </row>
    <row r="165" spans="1:5" x14ac:dyDescent="0.85">
      <c r="A165" s="22"/>
      <c r="B165" s="22"/>
      <c r="C165" s="21"/>
      <c r="D165" s="21"/>
      <c r="E165" s="21"/>
    </row>
    <row r="166" spans="1:5" x14ac:dyDescent="0.85">
      <c r="A166" s="22"/>
      <c r="B166" s="22"/>
      <c r="C166" s="21"/>
      <c r="D166" s="21"/>
      <c r="E166" s="21"/>
    </row>
    <row r="167" spans="1:5" x14ac:dyDescent="0.85">
      <c r="A167" s="22"/>
      <c r="B167" s="22"/>
      <c r="C167" s="21"/>
      <c r="D167" s="21"/>
      <c r="E167" s="21"/>
    </row>
    <row r="168" spans="1:5" x14ac:dyDescent="0.85">
      <c r="A168" s="22"/>
      <c r="B168" s="22"/>
      <c r="C168" s="21"/>
      <c r="D168" s="21"/>
      <c r="E168" s="21"/>
    </row>
    <row r="169" spans="1:5" x14ac:dyDescent="0.85">
      <c r="A169" s="22"/>
      <c r="B169" s="22"/>
      <c r="C169" s="21"/>
      <c r="D169" s="21"/>
      <c r="E169" s="21"/>
    </row>
    <row r="170" spans="1:5" x14ac:dyDescent="0.85">
      <c r="A170" s="22"/>
      <c r="B170" s="22"/>
      <c r="C170" s="21"/>
      <c r="D170" s="21"/>
      <c r="E170" s="21"/>
    </row>
    <row r="171" spans="1:5" x14ac:dyDescent="0.85">
      <c r="A171" s="22"/>
      <c r="B171" s="22"/>
      <c r="C171" s="21"/>
      <c r="D171" s="21"/>
      <c r="E171" s="21"/>
    </row>
    <row r="172" spans="1:5" x14ac:dyDescent="0.85">
      <c r="A172" s="22"/>
      <c r="B172" s="22"/>
      <c r="C172" s="21"/>
      <c r="D172" s="21"/>
      <c r="E172" s="21"/>
    </row>
    <row r="173" spans="1:5" x14ac:dyDescent="0.85">
      <c r="A173" s="22"/>
      <c r="B173" s="22"/>
      <c r="C173" s="21"/>
      <c r="D173" s="21"/>
      <c r="E173" s="21"/>
    </row>
    <row r="174" spans="1:5" x14ac:dyDescent="0.85">
      <c r="A174" s="22"/>
      <c r="B174" s="22"/>
      <c r="C174" s="21"/>
      <c r="D174" s="21"/>
      <c r="E174" s="21"/>
    </row>
    <row r="175" spans="1:5" x14ac:dyDescent="0.85">
      <c r="A175" s="22"/>
      <c r="B175" s="22"/>
      <c r="C175" s="21"/>
      <c r="D175" s="21"/>
      <c r="E175" s="21"/>
    </row>
    <row r="176" spans="1:5" x14ac:dyDescent="0.85">
      <c r="A176" s="22"/>
      <c r="B176" s="22"/>
      <c r="C176" s="21"/>
      <c r="D176" s="21"/>
      <c r="E176" s="21"/>
    </row>
    <row r="177" spans="1:5" x14ac:dyDescent="0.85">
      <c r="A177" s="22"/>
      <c r="B177" s="22"/>
      <c r="C177" s="21"/>
      <c r="D177" s="21"/>
      <c r="E177" s="21"/>
    </row>
    <row r="178" spans="1:5" x14ac:dyDescent="0.85">
      <c r="A178" s="22"/>
      <c r="B178" s="22"/>
      <c r="C178" s="21"/>
      <c r="D178" s="21"/>
      <c r="E178" s="21"/>
    </row>
    <row r="179" spans="1:5" x14ac:dyDescent="0.85">
      <c r="A179" s="22"/>
      <c r="B179" s="22"/>
      <c r="C179" s="21"/>
      <c r="D179" s="21"/>
      <c r="E179" s="21"/>
    </row>
    <row r="180" spans="1:5" x14ac:dyDescent="0.85">
      <c r="A180" s="22"/>
      <c r="B180" s="22"/>
      <c r="C180" s="21"/>
      <c r="D180" s="21"/>
      <c r="E180" s="21"/>
    </row>
    <row r="181" spans="1:5" x14ac:dyDescent="0.85">
      <c r="A181" s="22"/>
      <c r="B181" s="22"/>
      <c r="C181" s="21"/>
      <c r="D181" s="21"/>
      <c r="E181" s="21"/>
    </row>
    <row r="182" spans="1:5" x14ac:dyDescent="0.85">
      <c r="A182" s="22"/>
      <c r="B182" s="22"/>
      <c r="C182" s="21"/>
      <c r="D182" s="21"/>
      <c r="E182" s="21"/>
    </row>
    <row r="183" spans="1:5" x14ac:dyDescent="0.85">
      <c r="A183" s="22"/>
      <c r="B183" s="22"/>
      <c r="C183" s="21"/>
      <c r="D183" s="21"/>
      <c r="E183" s="21"/>
    </row>
    <row r="184" spans="1:5" x14ac:dyDescent="0.85">
      <c r="A184" s="22"/>
      <c r="B184" s="22"/>
      <c r="C184" s="21"/>
      <c r="D184" s="21"/>
      <c r="E184" s="21"/>
    </row>
    <row r="185" spans="1:5" x14ac:dyDescent="0.85">
      <c r="A185" s="22"/>
      <c r="B185" s="22"/>
      <c r="C185" s="21"/>
      <c r="D185" s="21"/>
      <c r="E185" s="21"/>
    </row>
    <row r="186" spans="1:5" x14ac:dyDescent="0.85">
      <c r="A186" s="22"/>
      <c r="B186" s="22"/>
      <c r="C186" s="21"/>
      <c r="D186" s="21"/>
      <c r="E186" s="21"/>
    </row>
    <row r="187" spans="1:5" x14ac:dyDescent="0.85">
      <c r="A187" s="22"/>
      <c r="B187" s="22"/>
      <c r="C187" s="21"/>
      <c r="D187" s="21"/>
      <c r="E187" s="21"/>
    </row>
    <row r="188" spans="1:5" x14ac:dyDescent="0.85">
      <c r="A188" s="22"/>
      <c r="B188" s="22"/>
      <c r="C188" s="21"/>
      <c r="D188" s="21"/>
      <c r="E188" s="21"/>
    </row>
    <row r="189" spans="1:5" x14ac:dyDescent="0.85">
      <c r="A189" s="22"/>
      <c r="B189" s="22"/>
      <c r="C189" s="21"/>
      <c r="D189" s="21"/>
      <c r="E189" s="21"/>
    </row>
    <row r="190" spans="1:5" x14ac:dyDescent="0.85">
      <c r="A190" s="22"/>
      <c r="B190" s="22"/>
      <c r="C190" s="21"/>
      <c r="D190" s="21"/>
      <c r="E190" s="21"/>
    </row>
    <row r="191" spans="1:5" x14ac:dyDescent="0.85">
      <c r="A191" s="22"/>
      <c r="B191" s="22"/>
      <c r="C191" s="21"/>
      <c r="D191" s="21"/>
      <c r="E191" s="21"/>
    </row>
    <row r="192" spans="1:5" x14ac:dyDescent="0.85">
      <c r="A192" s="22"/>
      <c r="B192" s="22"/>
      <c r="C192" s="21"/>
      <c r="D192" s="21"/>
      <c r="E192" s="21"/>
    </row>
    <row r="193" spans="1:5" x14ac:dyDescent="0.85">
      <c r="A193" s="22"/>
      <c r="B193" s="22"/>
      <c r="C193" s="21"/>
      <c r="D193" s="21"/>
      <c r="E193" s="21"/>
    </row>
    <row r="194" spans="1:5" x14ac:dyDescent="0.85">
      <c r="A194" s="22"/>
      <c r="B194" s="22"/>
      <c r="C194" s="21"/>
      <c r="D194" s="21"/>
      <c r="E194" s="21"/>
    </row>
    <row r="195" spans="1:5" x14ac:dyDescent="0.85">
      <c r="A195" s="22"/>
      <c r="B195" s="22"/>
      <c r="C195" s="21"/>
      <c r="D195" s="21"/>
      <c r="E195" s="21"/>
    </row>
    <row r="196" spans="1:5" x14ac:dyDescent="0.85">
      <c r="A196" s="22"/>
      <c r="B196" s="22"/>
      <c r="C196" s="21"/>
      <c r="D196" s="21"/>
      <c r="E196" s="21"/>
    </row>
    <row r="197" spans="1:5" x14ac:dyDescent="0.85">
      <c r="A197" s="22"/>
      <c r="B197" s="22"/>
      <c r="C197" s="21"/>
      <c r="D197" s="21"/>
      <c r="E197" s="21"/>
    </row>
    <row r="198" spans="1:5" x14ac:dyDescent="0.85">
      <c r="A198" s="22"/>
      <c r="B198" s="22"/>
      <c r="C198" s="21"/>
      <c r="D198" s="21"/>
      <c r="E198" s="21"/>
    </row>
    <row r="199" spans="1:5" x14ac:dyDescent="0.85">
      <c r="A199" s="22"/>
      <c r="B199" s="22"/>
      <c r="C199" s="21"/>
      <c r="D199" s="21"/>
      <c r="E199" s="21"/>
    </row>
    <row r="418" spans="295:297" x14ac:dyDescent="0.85">
      <c r="KI418" s="17" t="s">
        <v>111</v>
      </c>
      <c r="KJ418" s="17" t="s">
        <v>112</v>
      </c>
      <c r="KK418" s="17" t="s">
        <v>113</v>
      </c>
    </row>
    <row r="419" spans="295:297" x14ac:dyDescent="0.85">
      <c r="KJ419" s="17" t="s">
        <v>114</v>
      </c>
      <c r="KK419" s="17">
        <v>44.17</v>
      </c>
    </row>
    <row r="420" spans="295:297" x14ac:dyDescent="0.85">
      <c r="KJ420" s="17" t="s">
        <v>115</v>
      </c>
      <c r="KK420" s="17">
        <v>55.83</v>
      </c>
    </row>
  </sheetData>
  <mergeCells count="1">
    <mergeCell ref="G3:I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CF45-3DB5-404A-9408-2F89ABDE98CC}">
  <dimension ref="A1:K20"/>
  <sheetViews>
    <sheetView showGridLines="0" zoomScale="61" workbookViewId="0">
      <selection activeCell="L13" sqref="L13"/>
    </sheetView>
  </sheetViews>
  <sheetFormatPr defaultColWidth="8.88671875" defaultRowHeight="25.2" x14ac:dyDescent="0.85"/>
  <cols>
    <col min="1" max="2" width="8.88671875" style="39"/>
    <col min="3" max="3" width="12.6640625" style="39" bestFit="1" customWidth="1"/>
    <col min="4" max="4" width="15.88671875" style="39" customWidth="1"/>
    <col min="5" max="6" width="17.109375" style="39" customWidth="1"/>
    <col min="7" max="7" width="8.88671875" style="39"/>
    <col min="8" max="8" width="35.88671875" style="39" bestFit="1" customWidth="1"/>
    <col min="9" max="9" width="8.88671875" style="39"/>
    <col min="10" max="10" width="3.6640625" style="39" customWidth="1"/>
    <col min="11" max="11" width="14.5546875" style="39" customWidth="1"/>
    <col min="12" max="16384" width="8.88671875" style="39"/>
  </cols>
  <sheetData>
    <row r="1" spans="1:11" x14ac:dyDescent="0.85">
      <c r="A1" s="66" t="e" vm="1">
        <v>#VALUE!</v>
      </c>
      <c r="B1" s="66"/>
      <c r="C1" s="66"/>
    </row>
    <row r="2" spans="1:11" x14ac:dyDescent="0.85">
      <c r="A2" s="66"/>
      <c r="B2" s="66"/>
      <c r="C2" s="66"/>
    </row>
    <row r="3" spans="1:11" x14ac:dyDescent="0.85">
      <c r="A3" s="66"/>
      <c r="B3" s="66"/>
      <c r="C3" s="66"/>
    </row>
    <row r="5" spans="1:11" x14ac:dyDescent="0.85">
      <c r="B5" s="67" t="s">
        <v>2</v>
      </c>
      <c r="C5" s="67"/>
      <c r="D5" s="67"/>
      <c r="E5" s="67"/>
      <c r="F5" s="67"/>
      <c r="G5" s="67"/>
      <c r="H5" s="67"/>
      <c r="I5" s="67"/>
      <c r="K5" s="62">
        <v>1</v>
      </c>
    </row>
    <row r="6" spans="1:11" ht="45" x14ac:dyDescent="0.85">
      <c r="B6" s="67"/>
      <c r="C6" s="67"/>
      <c r="D6" s="67"/>
      <c r="E6" s="67"/>
      <c r="F6" s="67"/>
      <c r="G6" s="67"/>
      <c r="H6" s="67"/>
      <c r="I6" s="67"/>
      <c r="J6" s="45" t="s">
        <v>3</v>
      </c>
      <c r="K6" s="62"/>
    </row>
    <row r="7" spans="1:11" x14ac:dyDescent="0.85">
      <c r="B7" s="67"/>
      <c r="C7" s="67"/>
      <c r="D7" s="67"/>
      <c r="E7" s="67"/>
      <c r="F7" s="67"/>
      <c r="G7" s="67"/>
      <c r="H7" s="67"/>
      <c r="I7" s="67"/>
      <c r="K7" s="62"/>
    </row>
    <row r="8" spans="1:11" ht="8.4" customHeight="1" x14ac:dyDescent="0.85">
      <c r="B8" s="67"/>
      <c r="C8" s="67"/>
      <c r="D8" s="67"/>
      <c r="E8" s="67"/>
      <c r="F8" s="67"/>
      <c r="G8" s="67"/>
      <c r="H8" s="67"/>
      <c r="I8" s="67"/>
      <c r="K8" s="62"/>
    </row>
    <row r="11" spans="1:11" x14ac:dyDescent="0.85">
      <c r="C11" s="44"/>
      <c r="D11" s="44"/>
      <c r="G11" s="44" t="s">
        <v>4</v>
      </c>
    </row>
    <row r="12" spans="1:11" ht="33" x14ac:dyDescent="1.1000000000000001">
      <c r="B12" s="43" t="s">
        <v>5</v>
      </c>
      <c r="C12" s="41"/>
      <c r="D12" s="41"/>
      <c r="H12" s="39" t="s">
        <v>6</v>
      </c>
    </row>
    <row r="13" spans="1:11" ht="33" x14ac:dyDescent="0.85">
      <c r="B13" s="42" t="s">
        <v>7</v>
      </c>
      <c r="C13" s="41"/>
      <c r="D13" s="41"/>
      <c r="H13" s="39" t="s">
        <v>8</v>
      </c>
    </row>
    <row r="14" spans="1:11" x14ac:dyDescent="0.85">
      <c r="H14" s="39" t="s">
        <v>9</v>
      </c>
    </row>
    <row r="15" spans="1:11" x14ac:dyDescent="0.85">
      <c r="B15" s="68" t="s">
        <v>10</v>
      </c>
      <c r="C15" s="69">
        <v>46070</v>
      </c>
      <c r="D15" s="69"/>
      <c r="H15" s="39" t="s">
        <v>11</v>
      </c>
    </row>
    <row r="16" spans="1:11" x14ac:dyDescent="0.85">
      <c r="B16" s="68"/>
      <c r="C16" s="69"/>
      <c r="D16" s="69"/>
      <c r="H16" s="39" t="s">
        <v>12</v>
      </c>
    </row>
    <row r="17" spans="2:8" x14ac:dyDescent="0.85">
      <c r="H17" s="39" t="s">
        <v>13</v>
      </c>
    </row>
    <row r="18" spans="2:8" x14ac:dyDescent="0.85">
      <c r="H18" s="39" t="s">
        <v>14</v>
      </c>
    </row>
    <row r="19" spans="2:8" x14ac:dyDescent="0.85">
      <c r="H19" s="39" t="s">
        <v>15</v>
      </c>
    </row>
    <row r="20" spans="2:8" x14ac:dyDescent="0.85">
      <c r="B20" s="40"/>
    </row>
  </sheetData>
  <mergeCells count="5">
    <mergeCell ref="A1:C3"/>
    <mergeCell ref="B5:I8"/>
    <mergeCell ref="K5:K8"/>
    <mergeCell ref="B15:B16"/>
    <mergeCell ref="C15: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10"/>
  <sheetViews>
    <sheetView zoomScale="92" workbookViewId="0"/>
  </sheetViews>
  <sheetFormatPr defaultColWidth="8.88671875" defaultRowHeight="14.4" x14ac:dyDescent="0.3"/>
  <sheetData>
    <row r="1" spans="1:3" x14ac:dyDescent="0.3">
      <c r="A1" t="s">
        <v>34</v>
      </c>
      <c r="B1" t="s">
        <v>53</v>
      </c>
      <c r="C1" t="s">
        <v>49</v>
      </c>
    </row>
    <row r="2" spans="1:3" x14ac:dyDescent="0.3">
      <c r="A2" t="s">
        <v>116</v>
      </c>
      <c r="B2" t="s">
        <v>48</v>
      </c>
      <c r="C2" t="s">
        <v>117</v>
      </c>
    </row>
    <row r="3" spans="1:3" x14ac:dyDescent="0.3">
      <c r="A3" t="s">
        <v>118</v>
      </c>
      <c r="B3" t="s">
        <v>119</v>
      </c>
      <c r="C3" t="s">
        <v>120</v>
      </c>
    </row>
    <row r="4" spans="1:3" x14ac:dyDescent="0.3">
      <c r="A4" t="s">
        <v>45</v>
      </c>
      <c r="B4" t="s">
        <v>121</v>
      </c>
      <c r="C4" t="s">
        <v>122</v>
      </c>
    </row>
    <row r="5" spans="1:3" x14ac:dyDescent="0.3">
      <c r="B5" t="s">
        <v>123</v>
      </c>
      <c r="C5" t="s">
        <v>124</v>
      </c>
    </row>
    <row r="6" spans="1:3" x14ac:dyDescent="0.3">
      <c r="B6" t="s">
        <v>125</v>
      </c>
      <c r="C6" t="s">
        <v>126</v>
      </c>
    </row>
    <row r="7" spans="1:3" x14ac:dyDescent="0.3">
      <c r="B7" t="s">
        <v>127</v>
      </c>
      <c r="C7" t="s">
        <v>128</v>
      </c>
    </row>
    <row r="8" spans="1:3" x14ac:dyDescent="0.3">
      <c r="B8" t="s">
        <v>129</v>
      </c>
      <c r="C8" t="s">
        <v>130</v>
      </c>
    </row>
    <row r="9" spans="1:3" x14ac:dyDescent="0.3">
      <c r="B9" t="s">
        <v>131</v>
      </c>
    </row>
    <row r="10" spans="1:3" x14ac:dyDescent="0.3">
      <c r="B10"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3C6502B-BA1C-4699-85A5-A4FD478107D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READ ME</vt:lpstr>
      <vt:lpstr>Cover</vt:lpstr>
      <vt:lpstr>Trading Log</vt:lpstr>
      <vt:lpstr>Periodic Reflection</vt:lpstr>
      <vt:lpstr>Cover (2)</vt:lpstr>
      <vt:lpstr>VALIDATION_LISTS</vt:lpstr>
      <vt:lpstr>'Periodic Reflection'!ExternalData_1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Kartavya Jharwal Jharwal</cp:lastModifiedBy>
  <cp:revision/>
  <dcterms:created xsi:type="dcterms:W3CDTF">2025-09-22T07:20:25Z</dcterms:created>
  <dcterms:modified xsi:type="dcterms:W3CDTF">2026-03-02T18:16:42Z</dcterms:modified>
  <cp:category/>
  <cp:contentStatus/>
</cp:coreProperties>
</file>